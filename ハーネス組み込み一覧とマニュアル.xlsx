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作業別ガイド" sheetId="2" state="visible" r:id="rId4"/>
    <sheet name="導入手順" sheetId="3" state="visible" r:id="rId5"/>
    <sheet name="困ったとき" sheetId="4" state="visible" r:id="rId6"/>
    <sheet name="スキル一覧" sheetId="5" state="visible" r:id="rId7"/>
    <sheet name="エージェント一覧" sheetId="6" state="visible" r:id="rId8"/>
    <sheet name="フック一覧" sheetId="7" state="visible" r:id="rId9"/>
    <sheet name="原則一覧" sheetId="8" state="visible" r:id="rId10"/>
    <sheet name="ルール一覧" sheetId="9" state="visible" r:id="rId11"/>
    <sheet name="言語別集計" sheetId="10" state="visible" r:id="rId12"/>
    <sheet name="コマンド一覧" sheetId="11" state="visible" r:id="rId13"/>
    <sheet name="設定項目" sheetId="12" state="visible" r:id="rId14"/>
    <sheet name="書籍対応表" sheetId="13" state="visible" r:id="rId15"/>
    <sheet name="ファイル構成" sheetId="14" state="visible" r:id="rId16"/>
  </sheets>
  <definedNames>
    <definedName function="false" hidden="true" localSheetId="5" name="_xlnm._FilterDatabase" vbProcedure="false">エージェント一覧!$A$1:$E$5</definedName>
    <definedName function="false" hidden="true" localSheetId="10" name="_xlnm._FilterDatabase" vbProcedure="false">コマンド一覧!$A$3:$C$15</definedName>
    <definedName function="false" hidden="true" localSheetId="4" name="_xlnm._FilterDatabase" vbProcedure="false">スキル一覧!$A$1:$H$13</definedName>
    <definedName function="false" hidden="true" localSheetId="13" name="_xlnm._FilterDatabase" vbProcedure="false">ファイル構成!$A$1:$B$21</definedName>
    <definedName function="false" hidden="true" localSheetId="6" name="_xlnm._FilterDatabase" vbProcedure="false">フック一覧!$A$3:$E$8</definedName>
    <definedName function="false" hidden="true" localSheetId="8" name="_xlnm._FilterDatabase" vbProcedure="false">ルール一覧!$A$3:$H$95</definedName>
    <definedName function="false" hidden="true" localSheetId="1" name="_xlnm._FilterDatabase" vbProcedure="false">作業別ガイド!$A$3:$H$26</definedName>
    <definedName function="false" hidden="true" localSheetId="7" name="_xlnm._FilterDatabase" vbProcedure="false">原則一覧!$A$1:$F$36</definedName>
    <definedName function="false" hidden="true" localSheetId="3" name="_xlnm._FilterDatabase" vbProcedure="false">困ったとき!$A$1:$C$17</definedName>
    <definedName function="false" hidden="true" localSheetId="12" name="_xlnm._FilterDatabase" vbProcedure="false">書籍対応表!$A$3:$C$86</definedName>
    <definedName function="false" hidden="true" localSheetId="11" name="_xlnm._FilterDatabase" vbProcedure="false">設定項目!$A$3:$C$22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<sst xmlns="http://schemas.openxmlformats.org/spreadsheetml/2006/main" count="1840" uniqueCount="1026">
  <si>
    <t xml:space="preserve">ドメインモデル中心 開発ハーネス</t>
  </si>
  <si>
    <r>
      <rPr>
        <sz val="11"/>
        <color rgb="FF595959"/>
        <rFont val="Noto Sans CJK SC"/>
        <family val="2"/>
      </rPr>
      <t xml:space="preserve">組み込み一覧と簡易マニュアル（</t>
    </r>
    <r>
      <rPr>
        <sz val="11"/>
        <color rgb="FF595959"/>
        <rFont val="Meiryo UI"/>
        <family val="0"/>
        <charset val="1"/>
      </rPr>
      <t xml:space="preserve">Claude Code </t>
    </r>
    <r>
      <rPr>
        <sz val="11"/>
        <color rgb="FF595959"/>
        <rFont val="Noto Sans CJK SC"/>
        <family val="2"/>
      </rPr>
      <t xml:space="preserve">用・言語非依存）</t>
    </r>
  </si>
  <si>
    <t xml:space="preserve">このハーネスは何か</t>
  </si>
  <si>
    <r>
      <rPr>
        <sz val="10"/>
        <rFont val="Noto Sans CJK SC"/>
        <family val="2"/>
      </rPr>
      <t xml:space="preserve">・『現場で役立つシステム設計の原則』の考え方を、要件定義からリリースまでの全工程で </t>
    </r>
    <r>
      <rPr>
        <sz val="10"/>
        <rFont val="Meiryo UI"/>
        <family val="0"/>
        <charset val="1"/>
      </rPr>
      <t xml:space="preserve">Claude Code </t>
    </r>
    <r>
      <rPr>
        <sz val="10"/>
        <rFont val="Noto Sans CJK SC"/>
        <family val="2"/>
      </rPr>
      <t xml:space="preserve">に守らせる仕組み。</t>
    </r>
  </si>
  <si>
    <r>
      <rPr>
        <sz val="10"/>
        <rFont val="Noto Sans CJK SC"/>
        <family val="2"/>
      </rPr>
      <t xml:space="preserve">・工程の順序（要件→用語集→設計→実装→テスト→リリース）をフックで強制し、書いたコードを設計原則（</t>
    </r>
    <r>
      <rPr>
        <sz val="10"/>
        <rFont val="Meiryo UI"/>
        <family val="0"/>
        <charset val="1"/>
      </rPr>
      <t xml:space="preserve">P01–P35</t>
    </r>
    <r>
      <rPr>
        <sz val="10"/>
        <rFont val="Noto Sans CJK SC"/>
        <family val="2"/>
      </rPr>
      <t xml:space="preserve">）で自動チェックする。</t>
    </r>
  </si>
  <si>
    <t xml:space="preserve">・機械で判定できない部分は、工程ごとのスキル（手順書）とサブエージェント（レビュー・モデリング・テスト設計・教育）が担う。</t>
  </si>
  <si>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Java/Kotlin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TypeScript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Python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Go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C#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PHP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Ruby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SQL </t>
    </r>
    <r>
      <rPr>
        <sz val="10"/>
        <rFont val="Noto Sans CJK SC"/>
        <family val="2"/>
      </rPr>
      <t xml:space="preserve">に対応。既存アプリにも段階導入できる。</t>
    </r>
  </si>
  <si>
    <t xml:space="preserve">組み込んだもの（件数）</t>
  </si>
  <si>
    <t xml:space="preserve">設計原則</t>
  </si>
  <si>
    <r>
      <rPr>
        <sz val="10"/>
        <rFont val="Meiryo UI"/>
        <family val="0"/>
        <charset val="1"/>
      </rPr>
      <t xml:space="preserve">P01–P35</t>
    </r>
    <r>
      <rPr>
        <sz val="10"/>
        <rFont val="Noto Sans CJK SC"/>
        <family val="2"/>
      </rPr>
      <t xml:space="preserve">。書籍の各章を検査・レビューできる単位にしたもの</t>
    </r>
  </si>
  <si>
    <t xml:space="preserve">自動チェックルール</t>
  </si>
  <si>
    <r>
      <rPr>
        <sz val="10"/>
        <rFont val="Noto Sans CJK SC"/>
        <family val="2"/>
      </rPr>
      <t xml:space="preserve">言語パック＋組み込み（依存方向・</t>
    </r>
    <r>
      <rPr>
        <sz val="10"/>
        <rFont val="Meiryo UI"/>
        <family val="0"/>
        <charset val="1"/>
      </rPr>
      <t xml:space="preserve">SQL </t>
    </r>
    <r>
      <rPr>
        <sz val="10"/>
        <rFont val="Noto Sans CJK SC"/>
        <family val="2"/>
      </rPr>
      <t xml:space="preserve">含む）</t>
    </r>
  </si>
  <si>
    <t xml:space="preserve">　うちエラー（修正させる）</t>
  </si>
  <si>
    <t xml:space="preserve">書き込み直後にブロックされる</t>
  </si>
  <si>
    <t xml:space="preserve">　うち警告</t>
  </si>
  <si>
    <r>
      <rPr>
        <sz val="10"/>
        <rFont val="Meiryo UI"/>
        <family val="0"/>
        <charset val="1"/>
      </rPr>
      <t xml:space="preserve">Claude </t>
    </r>
    <r>
      <rPr>
        <sz val="10"/>
        <rFont val="Noto Sans CJK SC"/>
        <family val="2"/>
      </rPr>
      <t xml:space="preserve">に判断材料として伝える</t>
    </r>
  </si>
  <si>
    <t xml:space="preserve">スキル</t>
  </si>
  <si>
    <r>
      <rPr>
        <sz val="10"/>
        <rFont val="Noto Sans CJK SC"/>
        <family val="2"/>
      </rPr>
      <t xml:space="preserve">工程スキル </t>
    </r>
    <r>
      <rPr>
        <sz val="10"/>
        <rFont val="Meiryo UI"/>
        <family val="0"/>
        <charset val="1"/>
      </rPr>
      <t xml:space="preserve">6 </t>
    </r>
    <r>
      <rPr>
        <sz val="10"/>
        <rFont val="Noto Sans CJK SC"/>
        <family val="2"/>
      </rPr>
      <t xml:space="preserve">＋ 補助スキル </t>
    </r>
    <r>
      <rPr>
        <sz val="10"/>
        <rFont val="Meiryo UI"/>
        <family val="0"/>
        <charset val="1"/>
      </rPr>
      <t xml:space="preserve">6</t>
    </r>
  </si>
  <si>
    <t xml:space="preserve">サブエージェント</t>
  </si>
  <si>
    <t xml:space="preserve">モデリング・レビュー・テスト設計・教育</t>
  </si>
  <si>
    <t xml:space="preserve">フック</t>
  </si>
  <si>
    <t xml:space="preserve">SessionStart / PreToolUse / PostToolUse / Stop</t>
  </si>
  <si>
    <r>
      <rPr>
        <sz val="10"/>
        <rFont val="Meiryo UI"/>
        <family val="0"/>
        <charset val="1"/>
      </rPr>
      <t xml:space="preserve">CLI </t>
    </r>
    <r>
      <rPr>
        <sz val="10"/>
        <rFont val="Noto Sans CJK SC"/>
        <family val="2"/>
      </rPr>
      <t xml:space="preserve">コマンド</t>
    </r>
  </si>
  <si>
    <r>
      <rPr>
        <sz val="10"/>
        <rFont val="Meiryo UI"/>
        <family val="0"/>
        <charset val="1"/>
      </rPr>
      <t xml:space="preserve">python3 .claude/harness/harness.py &lt;</t>
    </r>
    <r>
      <rPr>
        <sz val="10"/>
        <rFont val="Noto Sans CJK SC"/>
        <family val="2"/>
      </rPr>
      <t xml:space="preserve">コマンド</t>
    </r>
    <r>
      <rPr>
        <sz val="10"/>
        <rFont val="Meiryo UI"/>
        <family val="0"/>
        <charset val="1"/>
      </rPr>
      <t xml:space="preserve">&gt;</t>
    </r>
  </si>
  <si>
    <t xml:space="preserve">書籍の項目カバー</t>
  </si>
  <si>
    <t xml:space="preserve">目次の各項目 → ハーネスの対応箇所</t>
  </si>
  <si>
    <t xml:space="preserve">シートの案内</t>
  </si>
  <si>
    <t xml:space="preserve">作業別ガイド</t>
  </si>
  <si>
    <t xml:space="preserve">【マニュアル】どの作業で、どのスキル・エージェント・コマンドを使うか</t>
  </si>
  <si>
    <t xml:space="preserve">導入手順</t>
  </si>
  <si>
    <t xml:space="preserve">【マニュアル】新規／既存アプリへの入れ方</t>
  </si>
  <si>
    <t xml:space="preserve">困ったとき</t>
  </si>
  <si>
    <t xml:space="preserve">【マニュアル】フックに止められた・誤検出などの対処</t>
  </si>
  <si>
    <t xml:space="preserve">スキル一覧</t>
  </si>
  <si>
    <r>
      <rPr>
        <sz val="10"/>
        <rFont val="Noto Sans CJK SC"/>
        <family val="2"/>
      </rPr>
      <t xml:space="preserve">スキル </t>
    </r>
    <r>
      <rPr>
        <sz val="10"/>
        <rFont val="Meiryo UI"/>
        <family val="0"/>
        <charset val="1"/>
      </rPr>
      <t xml:space="preserve">12 </t>
    </r>
    <r>
      <rPr>
        <sz val="10"/>
        <rFont val="Noto Sans CJK SC"/>
        <family val="2"/>
      </rPr>
      <t xml:space="preserve">種の用途・使う場面・出力</t>
    </r>
  </si>
  <si>
    <t xml:space="preserve">エージェント一覧</t>
  </si>
  <si>
    <r>
      <rPr>
        <sz val="10"/>
        <rFont val="Noto Sans CJK SC"/>
        <family val="2"/>
      </rPr>
      <t xml:space="preserve">サブエージェント </t>
    </r>
    <r>
      <rPr>
        <sz val="10"/>
        <rFont val="Meiryo UI"/>
        <family val="0"/>
        <charset val="1"/>
      </rPr>
      <t xml:space="preserve">4 </t>
    </r>
    <r>
      <rPr>
        <sz val="10"/>
        <rFont val="Noto Sans CJK SC"/>
        <family val="2"/>
      </rPr>
      <t xml:space="preserve">種の役割・使う場面</t>
    </r>
  </si>
  <si>
    <t xml:space="preserve">フック一覧</t>
  </si>
  <si>
    <t xml:space="preserve">自動で動く仕組みと止める条件、強さの設定</t>
  </si>
  <si>
    <t xml:space="preserve">原則一覧</t>
  </si>
  <si>
    <r>
      <rPr>
        <sz val="10"/>
        <rFont val="Meiryo UI"/>
        <family val="0"/>
        <charset val="1"/>
      </rPr>
      <t xml:space="preserve">P01–P35 </t>
    </r>
    <r>
      <rPr>
        <sz val="10"/>
        <rFont val="Noto Sans CJK SC"/>
        <family val="2"/>
      </rPr>
      <t xml:space="preserve">と強制手段、原則ごとのルール数</t>
    </r>
  </si>
  <si>
    <t xml:space="preserve">ルール一覧</t>
  </si>
  <si>
    <t xml:space="preserve">自動チェックルールの全件（言語・重大度・対象レイヤ）</t>
  </si>
  <si>
    <t xml:space="preserve">言語別集計</t>
  </si>
  <si>
    <t xml:space="preserve">言語パックごとのルール数（エラー／警告）</t>
  </si>
  <si>
    <t xml:space="preserve">コマンド一覧</t>
  </si>
  <si>
    <r>
      <rPr>
        <sz val="10"/>
        <rFont val="Meiryo UI"/>
        <family val="0"/>
        <charset val="1"/>
      </rPr>
      <t xml:space="preserve">CLI </t>
    </r>
    <r>
      <rPr>
        <sz val="10"/>
        <rFont val="Noto Sans CJK SC"/>
        <family val="2"/>
      </rPr>
      <t xml:space="preserve">の全コマンド</t>
    </r>
  </si>
  <si>
    <t xml:space="preserve">設定項目</t>
  </si>
  <si>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で変えられる項目と既定値</t>
    </r>
  </si>
  <si>
    <t xml:space="preserve">書籍対応表</t>
  </si>
  <si>
    <t xml:space="preserve">書籍の目次の各項目がどこで扱われているか</t>
  </si>
  <si>
    <t xml:space="preserve">ファイル構成</t>
  </si>
  <si>
    <t xml:space="preserve">同梱ファイルの説明</t>
  </si>
  <si>
    <r>
      <rPr>
        <sz val="9"/>
        <color rgb="FF595959"/>
        <rFont val="Noto Sans CJK SC"/>
        <family val="2"/>
      </rPr>
      <t xml:space="preserve">凡例</t>
    </r>
    <r>
      <rPr>
        <sz val="9"/>
        <color rgb="FF595959"/>
        <rFont val="Meiryo UI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強制手段 </t>
    </r>
    <r>
      <rPr>
        <sz val="9"/>
        <color rgb="FF595959"/>
        <rFont val="Meiryo UI"/>
        <family val="0"/>
        <charset val="1"/>
      </rPr>
      <t xml:space="preserve">G=gate</t>
    </r>
    <r>
      <rPr>
        <sz val="9"/>
        <color rgb="FF595959"/>
        <rFont val="Noto Sans CJK SC"/>
        <family val="2"/>
      </rPr>
      <t xml:space="preserve">（書き込み前）</t>
    </r>
    <r>
      <rPr>
        <sz val="9"/>
        <color rgb="FF595959"/>
        <rFont val="Meiryo UI"/>
        <family val="0"/>
        <charset val="1"/>
      </rPr>
      <t xml:space="preserve">/ L=lint</t>
    </r>
    <r>
      <rPr>
        <sz val="9"/>
        <color rgb="FF595959"/>
        <rFont val="Noto Sans CJK SC"/>
        <family val="2"/>
      </rPr>
      <t xml:space="preserve">（書き込み直後）</t>
    </r>
    <r>
      <rPr>
        <sz val="9"/>
        <color rgb="FF595959"/>
        <rFont val="Meiryo UI"/>
        <family val="0"/>
        <charset val="1"/>
      </rPr>
      <t xml:space="preserve">/ A=</t>
    </r>
    <r>
      <rPr>
        <sz val="9"/>
        <color rgb="FF595959"/>
        <rFont val="Noto Sans CJK SC"/>
        <family val="2"/>
      </rPr>
      <t xml:space="preserve">依存方向チェック </t>
    </r>
    <r>
      <rPr>
        <sz val="9"/>
        <color rgb="FF595959"/>
        <rFont val="Meiryo UI"/>
        <family val="0"/>
        <charset val="1"/>
      </rPr>
      <t xml:space="preserve">/ T=trace</t>
    </r>
    <r>
      <rPr>
        <sz val="9"/>
        <color rgb="FF595959"/>
        <rFont val="Noto Sans CJK SC"/>
        <family val="2"/>
      </rPr>
      <t xml:space="preserve">（整合性）</t>
    </r>
    <r>
      <rPr>
        <sz val="9"/>
        <color rgb="FF595959"/>
        <rFont val="Meiryo UI"/>
        <family val="0"/>
        <charset val="1"/>
      </rPr>
      <t xml:space="preserve">/ R=design-reviewer / S=</t>
    </r>
    <r>
      <rPr>
        <sz val="9"/>
        <color rgb="FF595959"/>
        <rFont val="Noto Sans CJK SC"/>
        <family val="2"/>
      </rPr>
      <t xml:space="preserve">スキルの手順</t>
    </r>
  </si>
  <si>
    <r>
      <rPr>
        <sz val="9"/>
        <color rgb="FF595959"/>
        <rFont val="Noto Sans CJK SC"/>
        <family val="2"/>
      </rPr>
      <t xml:space="preserve">コマンドは </t>
    </r>
    <r>
      <rPr>
        <sz val="9"/>
        <color rgb="FF595959"/>
        <rFont val="Meiryo UI"/>
        <family val="0"/>
        <charset val="1"/>
      </rPr>
      <t xml:space="preserve">python3 .claude/harness/harness.py &lt;</t>
    </r>
    <r>
      <rPr>
        <sz val="9"/>
        <color rgb="FF595959"/>
        <rFont val="Noto Sans CJK SC"/>
        <family val="2"/>
      </rPr>
      <t xml:space="preserve">コマンド</t>
    </r>
    <r>
      <rPr>
        <sz val="9"/>
        <color rgb="FF595959"/>
        <rFont val="Meiryo UI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の </t>
    </r>
    <r>
      <rPr>
        <sz val="9"/>
        <color rgb="FF595959"/>
        <rFont val="Meiryo UI"/>
        <family val="0"/>
        <charset val="1"/>
      </rPr>
      <t xml:space="preserve">&lt;</t>
    </r>
    <r>
      <rPr>
        <sz val="9"/>
        <color rgb="FF595959"/>
        <rFont val="Noto Sans CJK SC"/>
        <family val="2"/>
      </rPr>
      <t xml:space="preserve">コマンド</t>
    </r>
    <r>
      <rPr>
        <sz val="9"/>
        <color rgb="FF595959"/>
        <rFont val="Meiryo UI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部分を記載（表中では </t>
    </r>
    <r>
      <rPr>
        <sz val="9"/>
        <color rgb="FF595959"/>
        <rFont val="Meiryo UI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と略記）</t>
    </r>
  </si>
  <si>
    <r>
      <rPr>
        <i val="true"/>
        <sz val="9"/>
        <color rgb="FF595959"/>
        <rFont val="Meiryo UI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への頼み方</t>
    </r>
    <r>
      <rPr>
        <i val="true"/>
        <sz val="9"/>
        <color rgb="FF595959"/>
        <rFont val="Meiryo UI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スキルは「</t>
    </r>
    <r>
      <rPr>
        <i val="true"/>
        <sz val="9"/>
        <color rgb="FF595959"/>
        <rFont val="Meiryo UI"/>
        <family val="0"/>
        <charset val="1"/>
      </rPr>
      <t xml:space="preserve">/p1-req</t>
    </r>
    <r>
      <rPr>
        <i val="true"/>
        <sz val="9"/>
        <color rgb="FF595959"/>
        <rFont val="Noto Sans CJK SC"/>
        <family val="2"/>
      </rPr>
      <t xml:space="preserve">」のように入力するか、作業内容を話せば自動で選ばれる。エージェントは「</t>
    </r>
    <r>
      <rPr>
        <i val="true"/>
        <sz val="9"/>
        <color rgb="FF595959"/>
        <rFont val="Meiryo UI"/>
        <family val="0"/>
        <charset val="1"/>
      </rPr>
      <t xml:space="preserve">design-reviewer </t>
    </r>
    <r>
      <rPr>
        <i val="true"/>
        <sz val="9"/>
        <color rgb="FF595959"/>
        <rFont val="Noto Sans CJK SC"/>
        <family val="2"/>
      </rPr>
      <t xml:space="preserve">でレビューして」のように名前で依頼する。</t>
    </r>
  </si>
  <si>
    <t xml:space="preserve">場面・工程</t>
  </si>
  <si>
    <t xml:space="preserve">やりたい作業</t>
  </si>
  <si>
    <t xml:space="preserve">使うスキル</t>
  </si>
  <si>
    <t xml:space="preserve">使うエージェント</t>
  </si>
  <si>
    <r>
      <rPr>
        <b val="true"/>
        <sz val="10"/>
        <color rgb="FFFFFFFF"/>
        <rFont val="Noto Sans CJK SC"/>
        <family val="2"/>
      </rPr>
      <t xml:space="preserve">コマンド（</t>
    </r>
    <r>
      <rPr>
        <b val="true"/>
        <sz val="10"/>
        <color rgb="FFFFFFFF"/>
        <rFont val="Meiryo UI"/>
        <family val="0"/>
        <charset val="1"/>
      </rPr>
      <t xml:space="preserve">harness ...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</si>
  <si>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主な成果物</t>
  </si>
  <si>
    <t xml:space="preserve">自動で効く仕組み</t>
  </si>
  <si>
    <t xml:space="preserve">ポイント</t>
  </si>
  <si>
    <t xml:space="preserve">導入</t>
  </si>
  <si>
    <t xml:space="preserve">新規アプリにハーネスを入れる</t>
  </si>
  <si>
    <t xml:space="preserve">—</t>
  </si>
  <si>
    <t xml:space="preserve">harness init</t>
  </si>
  <si>
    <t xml:space="preserve">harness.yaml</t>
  </si>
  <si>
    <r>
      <rPr>
        <sz val="10"/>
        <rFont val="Noto Sans CJK SC"/>
        <family val="2"/>
      </rPr>
      <t xml:space="preserve">生成された </t>
    </r>
    <r>
      <rPr>
        <sz val="10"/>
        <rFont val="Meiryo UI"/>
        <family val="0"/>
        <charset val="1"/>
      </rPr>
      <t xml:space="preserve">harness.yaml</t>
    </r>
    <r>
      <rPr>
        <sz val="10"/>
        <rFont val="Noto Sans CJK SC"/>
        <family val="2"/>
      </rPr>
      <t xml:space="preserve">（言語・レイヤ・</t>
    </r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手順）を必ず目視確認する</t>
    </r>
  </si>
  <si>
    <t xml:space="preserve">既存アプリにハーネスを入れる</t>
  </si>
  <si>
    <r>
      <rPr>
        <sz val="10"/>
        <rFont val="Noto Sans CJK SC"/>
        <family val="2"/>
      </rPr>
      <t xml:space="preserve">—（後で </t>
    </r>
    <r>
      <rPr>
        <sz val="10"/>
        <rFont val="Meiryo UI"/>
        <family val="0"/>
        <charset val="1"/>
      </rPr>
      <t xml:space="preserve">/refactor</t>
    </r>
    <r>
      <rPr>
        <sz val="10"/>
        <rFont val="Noto Sans CJK SC"/>
        <family val="2"/>
      </rPr>
      <t xml:space="preserve">）</t>
    </r>
  </si>
  <si>
    <t xml:space="preserve">harness init → harness baseline → harness scaffold-model</t>
  </si>
  <si>
    <r>
      <rPr>
        <sz val="10"/>
        <rFont val="Meiryo UI"/>
        <family val="0"/>
        <charset val="1"/>
      </rPr>
      <t xml:space="preserve">.harness-baseline.json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domain.yaml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todo </t>
    </r>
    <r>
      <rPr>
        <sz val="10"/>
        <rFont val="Noto Sans CJK SC"/>
        <family val="2"/>
      </rPr>
      <t xml:space="preserve">付き）</t>
    </r>
  </si>
  <si>
    <t xml:space="preserve">段階導入モード（ゲートは警告のみ）</t>
  </si>
  <si>
    <r>
      <rPr>
        <sz val="10"/>
        <rFont val="Noto Sans CJK SC"/>
        <family val="2"/>
      </rPr>
      <t xml:space="preserve">用語集の </t>
    </r>
    <r>
      <rPr>
        <sz val="10"/>
        <rFont val="Meiryo UI"/>
        <family val="0"/>
        <charset val="1"/>
      </rPr>
      <t xml:space="preserve">todo </t>
    </r>
    <r>
      <rPr>
        <sz val="10"/>
        <rFont val="Noto Sans CJK SC"/>
        <family val="2"/>
      </rPr>
      <t xml:space="preserve">を埋め終えたら </t>
    </r>
    <r>
      <rPr>
        <sz val="10"/>
        <rFont val="Meiryo UI"/>
        <family val="0"/>
        <charset val="1"/>
      </rPr>
      <t xml:space="preserve">enforcement 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deny </t>
    </r>
    <r>
      <rPr>
        <sz val="10"/>
        <rFont val="Noto Sans CJK SC"/>
        <family val="2"/>
      </rPr>
      <t xml:space="preserve">に上げる</t>
    </r>
  </si>
  <si>
    <t xml:space="preserve">業務理解</t>
  </si>
  <si>
    <t xml:space="preserve">業務担当者へのヒアリング準備・議事メモの整理</t>
  </si>
  <si>
    <t xml:space="preserve">/domain-discovery</t>
  </si>
  <si>
    <t xml:space="preserve">domain-modeler</t>
  </si>
  <si>
    <t xml:space="preserve">docs/model/glossary-inbox.md</t>
  </si>
  <si>
    <r>
      <rPr>
        <sz val="10"/>
        <rFont val="Noto Sans CJK SC"/>
        <family val="2"/>
      </rPr>
      <t xml:space="preserve">「普通の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件」を最初から最後まで聞く。例外・境界・理由を聞く</t>
    </r>
  </si>
  <si>
    <t xml:space="preserve">既存資料・帳票・画面から用語を拾う</t>
  </si>
  <si>
    <t xml:space="preserve">glossary-inbox.md</t>
  </si>
  <si>
    <t xml:space="preserve">資料は言葉を拾う素材。重要度はヒアリングで決める</t>
  </si>
  <si>
    <r>
      <rPr>
        <b val="true"/>
        <sz val="10"/>
        <rFont val="Meiryo UI"/>
        <family val="0"/>
        <charset val="1"/>
      </rPr>
      <t xml:space="preserve">01 </t>
    </r>
    <r>
      <rPr>
        <b val="true"/>
        <sz val="10"/>
        <rFont val="Noto Sans CJK SC"/>
        <family val="2"/>
      </rPr>
      <t xml:space="preserve">要件定義</t>
    </r>
  </si>
  <si>
    <t xml:space="preserve">新機能・改修の要件をまとめる</t>
  </si>
  <si>
    <t xml:space="preserve">/p1-req</t>
  </si>
  <si>
    <t xml:space="preserve">design-reviewer</t>
  </si>
  <si>
    <t xml:space="preserve">harness trace</t>
  </si>
  <si>
    <t xml:space="preserve">docs/requirements/REQ-xxx.yaml</t>
  </si>
  <si>
    <r>
      <rPr>
        <sz val="10"/>
        <rFont val="Meiryo UI"/>
        <family val="0"/>
        <charset val="1"/>
      </rPr>
      <t xml:space="preserve">trace</t>
    </r>
    <r>
      <rPr>
        <sz val="10"/>
        <rFont val="Noto Sans CJK SC"/>
        <family val="2"/>
      </rPr>
      <t xml:space="preserve">（書式・用語・受入基準）</t>
    </r>
  </si>
  <si>
    <r>
      <rPr>
        <sz val="10"/>
        <rFont val="Meiryo UI"/>
        <family val="0"/>
        <charset val="1"/>
      </rPr>
      <t xml:space="preserve">open_questions </t>
    </r>
    <r>
      <rPr>
        <sz val="10"/>
        <rFont val="Noto Sans CJK SC"/>
        <family val="2"/>
      </rPr>
      <t xml:space="preserve">が空になりユーザーが同意するまで </t>
    </r>
    <r>
      <rPr>
        <sz val="10"/>
        <rFont val="Meiryo UI"/>
        <family val="0"/>
        <charset val="1"/>
      </rPr>
      <t xml:space="preserve">approved </t>
    </r>
    <r>
      <rPr>
        <sz val="10"/>
        <rFont val="Noto Sans CJK SC"/>
        <family val="2"/>
      </rPr>
      <t xml:space="preserve">にしない</t>
    </r>
  </si>
  <si>
    <t xml:space="preserve">非機能要件（性能・冪等性など）を決める</t>
  </si>
  <si>
    <t xml:space="preserve">test-designer</t>
  </si>
  <si>
    <r>
      <rPr>
        <sz val="10"/>
        <rFont val="Meiryo UI"/>
        <family val="0"/>
        <charset val="1"/>
      </rPr>
      <t xml:space="preserve">REQ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non_functional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NFR-xxx-xx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</si>
  <si>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trace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NFR </t>
    </r>
    <r>
      <rPr>
        <sz val="10"/>
        <rFont val="Noto Sans CJK SC"/>
        <family val="2"/>
      </rPr>
      <t xml:space="preserve">とテストの紐付け）</t>
    </r>
  </si>
  <si>
    <r>
      <rPr>
        <sz val="10"/>
        <rFont val="Noto Sans CJK SC"/>
        <family val="2"/>
      </rPr>
      <t xml:space="preserve">テストで表現できるものは </t>
    </r>
    <r>
      <rPr>
        <sz val="10"/>
        <rFont val="Meiryo UI"/>
        <family val="0"/>
        <charset val="1"/>
      </rPr>
      <t xml:space="preserve">verify_by: test</t>
    </r>
  </si>
  <si>
    <r>
      <rPr>
        <b val="true"/>
        <sz val="10"/>
        <rFont val="Meiryo UI"/>
        <family val="0"/>
        <charset val="1"/>
      </rPr>
      <t xml:space="preserve">02 </t>
    </r>
    <r>
      <rPr>
        <b val="true"/>
        <sz val="10"/>
        <rFont val="Noto Sans CJK SC"/>
        <family val="2"/>
      </rPr>
      <t xml:space="preserve">モデル</t>
    </r>
  </si>
  <si>
    <r>
      <rPr>
        <sz val="10"/>
        <rFont val="Noto Sans CJK SC"/>
        <family val="2"/>
      </rPr>
      <t xml:space="preserve">用語集・ドメインモデルを作る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育てる</t>
    </r>
  </si>
  <si>
    <r>
      <rPr>
        <sz val="10"/>
        <rFont val="Meiryo UI"/>
        <family val="0"/>
        <charset val="1"/>
      </rPr>
      <t xml:space="preserve">/p2-model</t>
    </r>
    <r>
      <rPr>
        <sz val="10"/>
        <rFont val="Noto Sans CJK SC"/>
        <family val="2"/>
      </rPr>
      <t xml:space="preserve">（前段に </t>
    </r>
    <r>
      <rPr>
        <sz val="10"/>
        <rFont val="Meiryo UI"/>
        <family val="0"/>
        <charset val="1"/>
      </rPr>
      <t xml:space="preserve">/domain-discovery</t>
    </r>
    <r>
      <rPr>
        <sz val="10"/>
        <rFont val="Noto Sans CJK SC"/>
        <family val="2"/>
      </rPr>
      <t xml:space="preserve">）</t>
    </r>
  </si>
  <si>
    <t xml:space="preserve">domain-modeler → design-reviewer</t>
  </si>
  <si>
    <t xml:space="preserve">harness trace / harness overview</t>
  </si>
  <si>
    <t xml:space="preserve">docs/model/domain.yaml</t>
  </si>
  <si>
    <r>
      <rPr>
        <sz val="10"/>
        <rFont val="Meiryo UI"/>
        <family val="0"/>
        <charset val="1"/>
      </rPr>
      <t xml:space="preserve">gate</t>
    </r>
    <r>
      <rPr>
        <sz val="10"/>
        <rFont val="Noto Sans CJK SC"/>
        <family val="2"/>
      </rPr>
      <t xml:space="preserve">（モデル先行）、</t>
    </r>
    <r>
      <rPr>
        <sz val="10"/>
        <rFont val="Meiryo UI"/>
        <family val="0"/>
        <charset val="1"/>
      </rPr>
      <t xml:space="preserve">trace</t>
    </r>
  </si>
  <si>
    <r>
      <rPr>
        <sz val="10"/>
        <rFont val="Noto Sans CJK SC"/>
        <family val="2"/>
      </rPr>
      <t xml:space="preserve">ヒト・モノ・コトで分類し、コトに約束（</t>
    </r>
    <r>
      <rPr>
        <sz val="10"/>
        <rFont val="Meiryo UI"/>
        <family val="0"/>
        <charset val="1"/>
      </rPr>
      <t xml:space="preserve">do/dont</t>
    </r>
    <r>
      <rPr>
        <sz val="10"/>
        <rFont val="Noto Sans CJK SC"/>
        <family val="2"/>
      </rPr>
      <t xml:space="preserve">）を書く。振る舞いから先に</t>
    </r>
  </si>
  <si>
    <r>
      <rPr>
        <b val="true"/>
        <sz val="10"/>
        <rFont val="Meiryo UI"/>
        <family val="0"/>
        <charset val="1"/>
      </rPr>
      <t xml:space="preserve">03 </t>
    </r>
    <r>
      <rPr>
        <b val="true"/>
        <sz val="10"/>
        <rFont val="Noto Sans CJK SC"/>
        <family val="2"/>
      </rPr>
      <t xml:space="preserve">設計</t>
    </r>
  </si>
  <si>
    <t xml:space="preserve">ユースケース・シナリオを設計する</t>
  </si>
  <si>
    <t xml:space="preserve">/p3-design</t>
  </si>
  <si>
    <t xml:space="preserve">docs/design/REQ-xxx.md</t>
  </si>
  <si>
    <r>
      <rPr>
        <sz val="10"/>
        <rFont val="Meiryo UI"/>
        <family val="0"/>
        <charset val="1"/>
      </rPr>
      <t xml:space="preserve">trace --strict</t>
    </r>
    <r>
      <rPr>
        <sz val="10"/>
        <rFont val="Noto Sans CJK SC"/>
        <family val="2"/>
      </rPr>
      <t xml:space="preserve">（設計書の有無）</t>
    </r>
  </si>
  <si>
    <r>
      <rPr>
        <sz val="10"/>
        <rFont val="Noto Sans CJK SC"/>
        <family val="2"/>
      </rPr>
      <t xml:space="preserve">サービスは登録系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参照系に分け、シナリオで組み立てる</t>
    </r>
  </si>
  <si>
    <t xml:space="preserve">画面を設計する</t>
  </si>
  <si>
    <t xml:space="preserve">/ui-design</t>
  </si>
  <si>
    <r>
      <rPr>
        <sz val="10"/>
        <rFont val="Meiryo UI"/>
        <family val="0"/>
        <charset val="1"/>
      </rPr>
      <t xml:space="preserve">design.md</t>
    </r>
    <r>
      <rPr>
        <sz val="10"/>
        <rFont val="Noto Sans CJK SC"/>
        <family val="2"/>
      </rPr>
      <t xml:space="preserve">「画面」節</t>
    </r>
  </si>
  <si>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（画面の計算・状態コード比較）</t>
    </r>
  </si>
  <si>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画面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タスク。表示の判断はドメインに</t>
    </r>
  </si>
  <si>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・外部連携を設計する</t>
    </r>
  </si>
  <si>
    <t xml:space="preserve">/api-design</t>
  </si>
  <si>
    <r>
      <rPr>
        <sz val="10"/>
        <rFont val="Meiryo UI"/>
        <family val="0"/>
        <charset val="1"/>
      </rPr>
      <t xml:space="preserve">design.md</t>
    </r>
    <r>
      <rPr>
        <sz val="10"/>
        <rFont val="Noto Sans CJK SC"/>
        <family val="2"/>
      </rPr>
      <t xml:space="preserve">「外部との契約」節、</t>
    </r>
    <r>
      <rPr>
        <sz val="10"/>
        <rFont val="Meiryo UI"/>
        <family val="0"/>
        <charset val="1"/>
      </rPr>
      <t xml:space="preserve">OpenAPI</t>
    </r>
  </si>
  <si>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（ドメインのシリアライズ依存）</t>
    </r>
  </si>
  <si>
    <t xml:space="preserve">連携方式を目的で選ぶ。導出結果か生データかを明記</t>
  </si>
  <si>
    <t xml:space="preserve">テーブル・マイグレーションを設計する</t>
  </si>
  <si>
    <t xml:space="preserve">/db-design</t>
  </si>
  <si>
    <t xml:space="preserve">harness lint &lt;sql&gt;</t>
  </si>
  <si>
    <r>
      <rPr>
        <sz val="10"/>
        <rFont val="Meiryo UI"/>
        <family val="0"/>
        <charset val="1"/>
      </rPr>
      <t xml:space="preserve">design.md</t>
    </r>
    <r>
      <rPr>
        <sz val="10"/>
        <rFont val="Noto Sans CJK SC"/>
        <family val="2"/>
      </rPr>
      <t xml:space="preserve">「永続化」節、マイグレーション</t>
    </r>
  </si>
  <si>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NULL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FK</t>
    </r>
    <r>
      <rPr>
        <sz val="10"/>
        <rFont val="Noto Sans CJK SC"/>
        <family val="2"/>
      </rPr>
      <t xml:space="preserve">・カラム追加・</t>
    </r>
    <r>
      <rPr>
        <sz val="10"/>
        <rFont val="Meiryo UI"/>
        <family val="0"/>
        <charset val="1"/>
      </rPr>
      <t xml:space="preserve">UPDATE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</si>
  <si>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記録のタイミングで分ける。</t>
    </r>
    <r>
      <rPr>
        <sz val="10"/>
        <rFont val="Meiryo UI"/>
        <family val="0"/>
        <charset val="1"/>
      </rPr>
      <t xml:space="preserve">UPDATE </t>
    </r>
    <r>
      <rPr>
        <sz val="10"/>
        <rFont val="Noto Sans CJK SC"/>
        <family val="2"/>
      </rPr>
      <t xml:space="preserve">せず追記、状態は導出</t>
    </r>
  </si>
  <si>
    <t xml:space="preserve">トレードオフのある判断を残す</t>
  </si>
  <si>
    <t xml:space="preserve">docs/adr/ADR-xxxx.md</t>
  </si>
  <si>
    <r>
      <rPr>
        <sz val="10"/>
        <rFont val="Noto Sans CJK SC"/>
        <family val="2"/>
      </rPr>
      <t xml:space="preserve">原則からの逸脱は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＋ </t>
    </r>
    <r>
      <rPr>
        <sz val="10"/>
        <rFont val="Meiryo UI"/>
        <family val="0"/>
        <charset val="1"/>
      </rPr>
      <t xml:space="preserve">harness-allow </t>
    </r>
    <r>
      <rPr>
        <sz val="10"/>
        <rFont val="Noto Sans CJK SC"/>
        <family val="2"/>
      </rPr>
      <t xml:space="preserve">コメント</t>
    </r>
  </si>
  <si>
    <r>
      <rPr>
        <b val="true"/>
        <sz val="10"/>
        <rFont val="Meiryo UI"/>
        <family val="0"/>
        <charset val="1"/>
      </rPr>
      <t xml:space="preserve">04 </t>
    </r>
    <r>
      <rPr>
        <b val="true"/>
        <sz val="10"/>
        <rFont val="Noto Sans CJK SC"/>
        <family val="2"/>
      </rPr>
      <t xml:space="preserve">実装</t>
    </r>
  </si>
  <si>
    <t xml:space="preserve">ドメイン → アプリ → インフラ → 画面の順で実装</t>
  </si>
  <si>
    <r>
      <rPr>
        <sz val="10"/>
        <rFont val="Meiryo UI"/>
        <family val="0"/>
        <charset val="1"/>
      </rPr>
      <t xml:space="preserve">/p4-impl</t>
    </r>
    <r>
      <rPr>
        <sz val="10"/>
        <rFont val="Noto Sans CJK SC"/>
        <family val="2"/>
      </rPr>
      <t xml:space="preserve">（＋</t>
    </r>
    <r>
      <rPr>
        <sz val="10"/>
        <rFont val="Meiryo UI"/>
        <family val="0"/>
        <charset val="1"/>
      </rPr>
      <t xml:space="preserve">/ui-design /api-design /db-design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</si>
  <si>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test-designer</t>
    </r>
    <r>
      <rPr>
        <sz val="10"/>
        <rFont val="Noto Sans CJK SC"/>
        <family val="2"/>
      </rPr>
      <t xml:space="preserve">（単体テストを同時に）</t>
    </r>
  </si>
  <si>
    <t xml:space="preserve">harness check --changed main</t>
  </si>
  <si>
    <t xml:space="preserve">コード＋ドメイン単体テスト</t>
  </si>
  <si>
    <r>
      <rPr>
        <sz val="10"/>
        <rFont val="Meiryo UI"/>
        <family val="0"/>
        <charset val="1"/>
      </rPr>
      <t xml:space="preserve">gate</t>
    </r>
    <r>
      <rPr>
        <sz val="10"/>
        <rFont val="Noto Sans CJK SC"/>
        <family val="2"/>
      </rPr>
      <t xml:space="preserve">（書き込み前）、</t>
    </r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（書き込み直後）、依存方向</t>
    </r>
  </si>
  <si>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ユースケースずつ縦に通す</t>
    </r>
  </si>
  <si>
    <t xml:space="preserve">フックに拒否・ブロックされた</t>
  </si>
  <si>
    <r>
      <rPr>
        <sz val="10"/>
        <rFont val="Meiryo UI"/>
        <family val="0"/>
        <charset val="1"/>
      </rPr>
      <t xml:space="preserve">/p4-impl</t>
    </r>
    <r>
      <rPr>
        <sz val="10"/>
        <rFont val="Noto Sans CJK SC"/>
        <family val="2"/>
      </rPr>
      <t xml:space="preserve">「フックとの付き合い方」</t>
    </r>
  </si>
  <si>
    <t xml:space="preserve">design-coach</t>
  </si>
  <si>
    <t xml:space="preserve">harness explain Pxx</t>
  </si>
  <si>
    <r>
      <rPr>
        <sz val="10"/>
        <rFont val="Noto Sans CJK SC"/>
        <family val="2"/>
      </rPr>
      <t xml:space="preserve">回避しない。直せない理由があれば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を書いて </t>
    </r>
    <r>
      <rPr>
        <sz val="10"/>
        <rFont val="Meiryo UI"/>
        <family val="0"/>
        <charset val="1"/>
      </rPr>
      <t xml:space="preserve">harness-allow</t>
    </r>
  </si>
  <si>
    <t xml:space="preserve">保守</t>
  </si>
  <si>
    <t xml:space="preserve">バグ修正・小さな改修</t>
  </si>
  <si>
    <r>
      <rPr>
        <sz val="10"/>
        <rFont val="Meiryo UI"/>
        <family val="0"/>
        <charset val="1"/>
      </rPr>
      <t xml:space="preserve">/p1-req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AC </t>
    </r>
    <r>
      <rPr>
        <sz val="10"/>
        <rFont val="Noto Sans CJK SC"/>
        <family val="2"/>
      </rPr>
      <t xml:space="preserve">追加）→ </t>
    </r>
    <r>
      <rPr>
        <sz val="10"/>
        <rFont val="Meiryo UI"/>
        <family val="0"/>
        <charset val="1"/>
      </rPr>
      <t xml:space="preserve">/p4-impl → /p5-test</t>
    </r>
  </si>
  <si>
    <t xml:space="preserve">harness check</t>
  </si>
  <si>
    <r>
      <rPr>
        <sz val="10"/>
        <rFont val="Meiryo UI"/>
        <family val="0"/>
        <charset val="1"/>
      </rPr>
      <t xml:space="preserve">REQ </t>
    </r>
    <r>
      <rPr>
        <sz val="10"/>
        <rFont val="Noto Sans CJK SC"/>
        <family val="2"/>
      </rPr>
      <t xml:space="preserve">への受入基準追加、失敗するテスト→修正</t>
    </r>
  </si>
  <si>
    <t xml:space="preserve">全部</t>
  </si>
  <si>
    <t xml:space="preserve">先に不具合を再現するテストを書く</t>
  </si>
  <si>
    <t xml:space="preserve">既存コードの改善・リファクタリング</t>
  </si>
  <si>
    <t xml:space="preserve">/refactor</t>
  </si>
  <si>
    <r>
      <rPr>
        <sz val="10"/>
        <rFont val="Meiryo UI"/>
        <family val="0"/>
        <charset val="1"/>
      </rPr>
      <t xml:space="preserve">design-coach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design-reviewer</t>
    </r>
  </si>
  <si>
    <t xml:space="preserve">harness lint &lt;file&gt;</t>
  </si>
  <si>
    <t xml:space="preserve">小さなコミットの連続</t>
  </si>
  <si>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、ベースライン</t>
    </r>
  </si>
  <si>
    <t xml:space="preserve">現状を固定するテスト → 名前 → 段落 → 値オブジェクト … の順</t>
  </si>
  <si>
    <r>
      <rPr>
        <b val="true"/>
        <sz val="10"/>
        <rFont val="Meiryo UI"/>
        <family val="0"/>
        <charset val="1"/>
      </rPr>
      <t xml:space="preserve">05 </t>
    </r>
    <r>
      <rPr>
        <b val="true"/>
        <sz val="10"/>
        <rFont val="Noto Sans CJK SC"/>
        <family val="2"/>
      </rPr>
      <t xml:space="preserve">テスト</t>
    </r>
  </si>
  <si>
    <t xml:space="preserve">テスト設計・受入基準との紐付け</t>
  </si>
  <si>
    <t xml:space="preserve">/p5-test</t>
  </si>
  <si>
    <t xml:space="preserve">harness check --strict</t>
  </si>
  <si>
    <r>
      <rPr>
        <sz val="10"/>
        <rFont val="Noto Sans CJK SC"/>
        <family val="2"/>
      </rPr>
      <t xml:space="preserve">テストコード（名前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タグに </t>
    </r>
    <r>
      <rPr>
        <sz val="10"/>
        <rFont val="Meiryo UI"/>
        <family val="0"/>
        <charset val="1"/>
      </rPr>
      <t xml:space="preserve">AC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NFR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ID</t>
    </r>
    <r>
      <rPr>
        <sz val="10"/>
        <rFont val="Noto Sans CJK SC"/>
        <family val="2"/>
      </rPr>
      <t xml:space="preserve">）</t>
    </r>
  </si>
  <si>
    <t xml:space="preserve">trace --strict</t>
  </si>
  <si>
    <t xml:space="preserve">ドメイン単体テストを厚く。境界値・全区分・遷移表を網羅</t>
  </si>
  <si>
    <t xml:space="preserve">レビュー</t>
  </si>
  <si>
    <r>
      <rPr>
        <sz val="10"/>
        <rFont val="Noto Sans CJK SC"/>
        <family val="2"/>
      </rPr>
      <t xml:space="preserve">工程の終わり・</t>
    </r>
    <r>
      <rPr>
        <sz val="10"/>
        <rFont val="Meiryo UI"/>
        <family val="0"/>
        <charset val="1"/>
      </rPr>
      <t xml:space="preserve">PR </t>
    </r>
    <r>
      <rPr>
        <sz val="10"/>
        <rFont val="Noto Sans CJK SC"/>
        <family val="2"/>
      </rPr>
      <t xml:space="preserve">前のレビュー</t>
    </r>
  </si>
  <si>
    <r>
      <rPr>
        <sz val="10"/>
        <rFont val="Noto Sans CJK SC"/>
        <family val="2"/>
      </rPr>
      <t xml:space="preserve">指摘表（</t>
    </r>
    <r>
      <rPr>
        <sz val="10"/>
        <rFont val="Meiryo UI"/>
        <family val="0"/>
        <charset val="1"/>
      </rPr>
      <t xml:space="preserve">Critical/Major/Minor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</si>
  <si>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Critical 0 </t>
    </r>
    <r>
      <rPr>
        <sz val="10"/>
        <rFont val="Noto Sans CJK SC"/>
        <family val="2"/>
      </rPr>
      <t xml:space="preserve">で次工程へ</t>
    </r>
  </si>
  <si>
    <r>
      <rPr>
        <b val="true"/>
        <sz val="10"/>
        <rFont val="Meiryo UI"/>
        <family val="0"/>
        <charset val="1"/>
      </rPr>
      <t xml:space="preserve">06 </t>
    </r>
    <r>
      <rPr>
        <b val="true"/>
        <sz val="10"/>
        <rFont val="Noto Sans CJK SC"/>
        <family val="2"/>
      </rPr>
      <t xml:space="preserve">リリース</t>
    </r>
  </si>
  <si>
    <t xml:space="preserve">リリース・タグ付け・公開</t>
  </si>
  <si>
    <t xml:space="preserve">/p6-release</t>
  </si>
  <si>
    <r>
      <rPr>
        <sz val="10"/>
        <rFont val="Meiryo UI"/>
        <family val="0"/>
        <charset val="1"/>
      </rPr>
      <t xml:space="preserve">design-reviewer</t>
    </r>
    <r>
      <rPr>
        <sz val="10"/>
        <rFont val="Noto Sans CJK SC"/>
        <family val="2"/>
      </rPr>
      <t xml:space="preserve">（データ移行・互換性）</t>
    </r>
  </si>
  <si>
    <t xml:space="preserve">harness verify → harness overview → git tag</t>
  </si>
  <si>
    <r>
      <rPr>
        <sz val="10"/>
        <rFont val="Meiryo UI"/>
        <family val="0"/>
        <charset val="1"/>
      </rPr>
      <t xml:space="preserve">docs/releases/vX.Y.Z.md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docs/overview.md</t>
    </r>
  </si>
  <si>
    <r>
      <rPr>
        <sz val="10"/>
        <rFont val="Meiryo UI"/>
        <family val="0"/>
        <charset val="1"/>
      </rPr>
      <t xml:space="preserve">gate</t>
    </r>
    <r>
      <rPr>
        <sz val="10"/>
        <rFont val="Noto Sans CJK SC"/>
        <family val="2"/>
      </rPr>
      <t xml:space="preserve">（リリースゲート）、</t>
    </r>
    <r>
      <rPr>
        <sz val="10"/>
        <rFont val="Meiryo UI"/>
        <family val="0"/>
        <charset val="1"/>
      </rPr>
      <t xml:space="preserve">CI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release </t>
    </r>
    <r>
      <rPr>
        <sz val="10"/>
        <rFont val="Noto Sans CJK SC"/>
        <family val="2"/>
      </rPr>
      <t xml:space="preserve">ワークフロー</t>
    </r>
  </si>
  <si>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は現 </t>
    </r>
    <r>
      <rPr>
        <sz val="10"/>
        <rFont val="Meiryo UI"/>
        <family val="0"/>
        <charset val="1"/>
      </rPr>
      <t xml:space="preserve">HEAD</t>
    </r>
    <r>
      <rPr>
        <sz val="10"/>
        <rFont val="Noto Sans CJK SC"/>
        <family val="2"/>
      </rPr>
      <t xml:space="preserve">・クリーンな作業ツリーで。最後はユーザー確認</t>
    </r>
  </si>
  <si>
    <t xml:space="preserve">管理</t>
  </si>
  <si>
    <t xml:space="preserve">進捗報告・見積もり</t>
  </si>
  <si>
    <t xml:space="preserve">/project-management</t>
  </si>
  <si>
    <t xml:space="preserve">harness overview</t>
  </si>
  <si>
    <t xml:space="preserve">docs/overview.md</t>
  </si>
  <si>
    <r>
      <rPr>
        <sz val="10"/>
        <rFont val="Noto Sans CJK SC"/>
        <family val="2"/>
      </rPr>
      <t xml:space="preserve">進捗＝受入基準のテスト検証率。ドキュメントは用語集・俯瞰・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に絞る</t>
    </r>
  </si>
  <si>
    <t xml:space="preserve">教育</t>
  </si>
  <si>
    <t xml:space="preserve">設計を学ぶ・チームに説明する</t>
  </si>
  <si>
    <t xml:space="preserve">harness explain Pxx / profiles: [calisthenics]</t>
  </si>
  <si>
    <r>
      <rPr>
        <sz val="10"/>
        <rFont val="Meiryo UI"/>
        <family val="0"/>
        <charset val="1"/>
      </rPr>
      <t xml:space="preserve">calisthenics </t>
    </r>
    <r>
      <rPr>
        <sz val="10"/>
        <rFont val="Noto Sans CJK SC"/>
        <family val="2"/>
      </rPr>
      <t xml:space="preserve">プロファイル</t>
    </r>
  </si>
  <si>
    <t xml:space="preserve">学習期間だけ過激なコーディング規則を有効に</t>
  </si>
  <si>
    <t xml:space="preserve">拡張</t>
  </si>
  <si>
    <t xml:space="preserve">チーム独自ルールを追加する</t>
  </si>
  <si>
    <t xml:space="preserve">harness selftest</t>
  </si>
  <si>
    <r>
      <rPr>
        <sz val="10"/>
        <rFont val="Meiryo UI"/>
        <family val="0"/>
        <charset val="1"/>
      </rPr>
      <t xml:space="preserve">.harness-rules/*.yaml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tests/fixtures</t>
    </r>
  </si>
  <si>
    <t xml:space="preserve">selftest</t>
  </si>
  <si>
    <r>
      <rPr>
        <sz val="10"/>
        <rFont val="Meiryo UI"/>
        <family val="0"/>
        <charset val="1"/>
      </rPr>
      <t xml:space="preserve">good</t>
    </r>
    <r>
      <rPr>
        <sz val="10"/>
        <rFont val="Noto Sans CJK SC"/>
        <family val="2"/>
      </rPr>
      <t xml:space="preserve">（指摘</t>
    </r>
    <r>
      <rPr>
        <sz val="10"/>
        <rFont val="Meiryo UI"/>
        <family val="0"/>
        <charset val="1"/>
      </rPr>
      <t xml:space="preserve">0</t>
    </r>
    <r>
      <rPr>
        <sz val="10"/>
        <rFont val="Noto Sans CJK SC"/>
        <family val="2"/>
      </rPr>
      <t xml:space="preserve">）と </t>
    </r>
    <r>
      <rPr>
        <sz val="10"/>
        <rFont val="Meiryo UI"/>
        <family val="0"/>
        <charset val="1"/>
      </rPr>
      <t xml:space="preserve">bad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expect</t>
    </r>
    <r>
      <rPr>
        <sz val="10"/>
        <rFont val="Noto Sans CJK SC"/>
        <family val="2"/>
      </rPr>
      <t xml:space="preserve">）の例を必ず足す</t>
    </r>
  </si>
  <si>
    <t xml:space="preserve">設定</t>
  </si>
  <si>
    <t xml:space="preserve">当てはまらない原則を外す・閾値を変える</t>
  </si>
  <si>
    <r>
      <rPr>
        <sz val="10"/>
        <rFont val="Noto Sans CJK SC"/>
        <family val="2"/>
      </rPr>
      <t xml:space="preserve">例</t>
    </r>
    <r>
      <rPr>
        <sz val="10"/>
        <rFont val="Meiryo UI"/>
        <family val="0"/>
        <charset val="1"/>
      </rPr>
      <t xml:space="preserve">: DB </t>
    </r>
    <r>
      <rPr>
        <sz val="10"/>
        <rFont val="Noto Sans CJK SC"/>
        <family val="2"/>
      </rPr>
      <t xml:space="preserve">を持たないアプリは </t>
    </r>
    <r>
      <rPr>
        <sz val="10"/>
        <rFont val="Meiryo UI"/>
        <family val="0"/>
        <charset val="1"/>
      </rPr>
      <t xml:space="preserve">principles.disabled: [P17, P18, P19]</t>
    </r>
  </si>
  <si>
    <r>
      <rPr>
        <i val="true"/>
        <sz val="9"/>
        <color rgb="FF595959"/>
        <rFont val="Noto Sans CJK SC"/>
        <family val="2"/>
      </rPr>
      <t xml:space="preserve">手順</t>
    </r>
    <r>
      <rPr>
        <i val="true"/>
        <sz val="9"/>
        <color rgb="FF595959"/>
        <rFont val="Meiryo UI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・</t>
    </r>
    <r>
      <rPr>
        <i val="true"/>
        <sz val="9"/>
        <color rgb="FF595959"/>
        <rFont val="Meiryo UI"/>
        <family val="0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は既存アプリのみ。新規アプリは </t>
    </r>
    <r>
      <rPr>
        <i val="true"/>
        <sz val="9"/>
        <color rgb="FF595959"/>
        <rFont val="Meiryo UI"/>
        <family val="0"/>
        <charset val="1"/>
      </rPr>
      <t xml:space="preserve">1→2→3→4→8→9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</si>
  <si>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手順</t>
  </si>
  <si>
    <t xml:space="preserve">作業</t>
  </si>
  <si>
    <t xml:space="preserve">内容</t>
  </si>
  <si>
    <t xml:space="preserve">コマンド</t>
  </si>
  <si>
    <t xml:space="preserve">1</t>
  </si>
  <si>
    <t xml:space="preserve">ファイルを配置</t>
  </si>
  <si>
    <r>
      <rPr>
        <sz val="10"/>
        <rFont val="Meiryo UI"/>
        <family val="0"/>
        <charset val="1"/>
      </rPr>
      <t xml:space="preserve">zip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.claude/ </t>
    </r>
    <r>
      <rPr>
        <sz val="10"/>
        <rFont val="Noto Sans CJK SC"/>
        <family val="2"/>
      </rPr>
      <t xml:space="preserve">と </t>
    </r>
    <r>
      <rPr>
        <sz val="10"/>
        <rFont val="Meiryo UI"/>
        <family val="0"/>
        <charset val="1"/>
      </rPr>
      <t xml:space="preserve">CLAUDE.md </t>
    </r>
    <r>
      <rPr>
        <sz val="10"/>
        <rFont val="Noto Sans CJK SC"/>
        <family val="2"/>
      </rPr>
      <t xml:space="preserve">をリポジトリのルートへ（既存の </t>
    </r>
    <r>
      <rPr>
        <sz val="10"/>
        <rFont val="Meiryo UI"/>
        <family val="0"/>
        <charset val="1"/>
      </rPr>
      <t xml:space="preserve">CLAUDE.md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settings.json </t>
    </r>
    <r>
      <rPr>
        <sz val="10"/>
        <rFont val="Noto Sans CJK SC"/>
        <family val="2"/>
      </rPr>
      <t xml:space="preserve">はマージ）。</t>
    </r>
    <r>
      <rPr>
        <sz val="10"/>
        <rFont val="Meiryo UI"/>
        <family val="0"/>
        <charset val="1"/>
      </rPr>
      <t xml:space="preserve">CI </t>
    </r>
    <r>
      <rPr>
        <sz val="10"/>
        <rFont val="Noto Sans CJK SC"/>
        <family val="2"/>
      </rPr>
      <t xml:space="preserve">を使うなら </t>
    </r>
    <r>
      <rPr>
        <sz val="10"/>
        <rFont val="Meiryo UI"/>
        <family val="0"/>
        <charset val="1"/>
      </rPr>
      <t xml:space="preserve">.github/workflows/ </t>
    </r>
    <r>
      <rPr>
        <sz val="10"/>
        <rFont val="Noto Sans CJK SC"/>
        <family val="2"/>
      </rPr>
      <t xml:space="preserve">も</t>
    </r>
  </si>
  <si>
    <t xml:space="preserve">2</t>
  </si>
  <si>
    <t xml:space="preserve">依存を入れる</t>
  </si>
  <si>
    <r>
      <rPr>
        <sz val="10"/>
        <rFont val="Meiryo UI"/>
        <family val="0"/>
        <charset val="1"/>
      </rPr>
      <t xml:space="preserve">Python 3.10 </t>
    </r>
    <r>
      <rPr>
        <sz val="10"/>
        <rFont val="Noto Sans CJK SC"/>
        <family val="2"/>
      </rPr>
      <t xml:space="preserve">以上で </t>
    </r>
    <r>
      <rPr>
        <sz val="10"/>
        <rFont val="Meiryo UI"/>
        <family val="0"/>
        <charset val="1"/>
      </rPr>
      <t xml:space="preserve">pip install pyyaml</t>
    </r>
  </si>
  <si>
    <t xml:space="preserve">pip install pyyaml</t>
  </si>
  <si>
    <t xml:space="preserve">3</t>
  </si>
  <si>
    <t xml:space="preserve">スタック検出</t>
  </si>
  <si>
    <r>
      <rPr>
        <sz val="10"/>
        <rFont val="Noto Sans CJK SC"/>
        <family val="2"/>
      </rPr>
      <t xml:space="preserve">言語・レイヤ配置・</t>
    </r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手順・</t>
    </r>
    <r>
      <rPr>
        <sz val="10"/>
        <rFont val="Meiryo UI"/>
        <family val="0"/>
        <charset val="1"/>
      </rPr>
      <t xml:space="preserve">import </t>
    </r>
    <r>
      <rPr>
        <sz val="10"/>
        <rFont val="Noto Sans CJK SC"/>
        <family val="2"/>
      </rPr>
      <t xml:space="preserve">接頭辞を検出して </t>
    </r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を生成</t>
    </r>
  </si>
  <si>
    <t xml:space="preserve">python3 .claude/harness/harness.py init</t>
  </si>
  <si>
    <t xml:space="preserve">4</t>
  </si>
  <si>
    <t xml:space="preserve">設定を確認</t>
  </si>
  <si>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languages / architecture / verify.steps </t>
    </r>
    <r>
      <rPr>
        <sz val="10"/>
        <rFont val="Noto Sans CJK SC"/>
        <family val="2"/>
      </rPr>
      <t xml:space="preserve">を目視確認し、必要なら修正</t>
    </r>
  </si>
  <si>
    <t xml:space="preserve">5</t>
  </si>
  <si>
    <t xml:space="preserve">（既存アプリのみ）現状を凍結</t>
  </si>
  <si>
    <r>
      <rPr>
        <sz val="10"/>
        <rFont val="Noto Sans CJK SC"/>
        <family val="2"/>
      </rPr>
      <t xml:space="preserve">既存の違反を </t>
    </r>
    <r>
      <rPr>
        <sz val="10"/>
        <rFont val="Meiryo UI"/>
        <family val="0"/>
        <charset val="1"/>
      </rPr>
      <t xml:space="preserve">.harness-baseline.json </t>
    </r>
    <r>
      <rPr>
        <sz val="10"/>
        <rFont val="Noto Sans CJK SC"/>
        <family val="2"/>
      </rPr>
      <t xml:space="preserve">に記録してコミット</t>
    </r>
  </si>
  <si>
    <t xml:space="preserve">harness baseline</t>
  </si>
  <si>
    <t xml:space="preserve">6</t>
  </si>
  <si>
    <t xml:space="preserve">（既存アプリのみ）用語集の下書き</t>
  </si>
  <si>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の型を </t>
    </r>
    <r>
      <rPr>
        <sz val="10"/>
        <rFont val="Meiryo UI"/>
        <family val="0"/>
        <charset val="1"/>
      </rPr>
      <t xml:space="preserve">todo </t>
    </r>
    <r>
      <rPr>
        <sz val="10"/>
        <rFont val="Noto Sans CJK SC"/>
        <family val="2"/>
      </rPr>
      <t xml:space="preserve">付きで </t>
    </r>
    <r>
      <rPr>
        <sz val="10"/>
        <rFont val="Meiryo UI"/>
        <family val="0"/>
        <charset val="1"/>
      </rPr>
      <t xml:space="preserve">domain.yaml </t>
    </r>
    <r>
      <rPr>
        <sz val="10"/>
        <rFont val="Noto Sans CJK SC"/>
        <family val="2"/>
      </rPr>
      <t xml:space="preserve">に登録し、業務の呼び名・定義を埋める</t>
    </r>
  </si>
  <si>
    <t xml:space="preserve">harness scaffold-model</t>
  </si>
  <si>
    <t xml:space="preserve">7</t>
  </si>
  <si>
    <t xml:space="preserve">（任意）構造テストのアダプタ</t>
  </si>
  <si>
    <r>
      <rPr>
        <sz val="10"/>
        <rFont val="Meiryo UI"/>
        <family val="0"/>
        <charset val="1"/>
      </rPr>
      <t xml:space="preserve">ArchUnit / ESLint / import-linter / deptrac </t>
    </r>
    <r>
      <rPr>
        <sz val="10"/>
        <rFont val="Noto Sans CJK SC"/>
        <family val="2"/>
      </rPr>
      <t xml:space="preserve">を追加（</t>
    </r>
    <r>
      <rPr>
        <sz val="10"/>
        <rFont val="Meiryo UI"/>
        <family val="0"/>
        <charset val="1"/>
      </rPr>
      <t xml:space="preserve">.claude/harness/adapters/README.md</t>
    </r>
    <r>
      <rPr>
        <sz val="10"/>
        <rFont val="Noto Sans CJK SC"/>
        <family val="2"/>
      </rPr>
      <t xml:space="preserve">）</t>
    </r>
  </si>
  <si>
    <t xml:space="preserve">8</t>
  </si>
  <si>
    <t xml:space="preserve">動作確認</t>
  </si>
  <si>
    <t xml:space="preserve">自己テストと現状確認</t>
  </si>
  <si>
    <t xml:space="preserve">harness selftest / harness status</t>
  </si>
  <si>
    <t xml:space="preserve">9</t>
  </si>
  <si>
    <t xml:space="preserve">開始</t>
  </si>
  <si>
    <r>
      <rPr>
        <sz val="10"/>
        <rFont val="Meiryo UI"/>
        <family val="0"/>
        <charset val="1"/>
      </rPr>
      <t xml:space="preserve">claude </t>
    </r>
    <r>
      <rPr>
        <sz val="10"/>
        <rFont val="Noto Sans CJK SC"/>
        <family val="2"/>
      </rPr>
      <t xml:space="preserve">を起動（</t>
    </r>
    <r>
      <rPr>
        <sz val="10"/>
        <rFont val="Meiryo UI"/>
        <family val="0"/>
        <charset val="1"/>
      </rPr>
      <t xml:space="preserve">SessionStart </t>
    </r>
    <r>
      <rPr>
        <sz val="10"/>
        <rFont val="Noto Sans CJK SC"/>
        <family val="2"/>
      </rPr>
      <t xml:space="preserve">で現在の工程が表示される）→ </t>
    </r>
    <r>
      <rPr>
        <sz val="10"/>
        <rFont val="Meiryo UI"/>
        <family val="0"/>
        <charset val="1"/>
      </rPr>
      <t xml:space="preserve">/p1-req </t>
    </r>
    <r>
      <rPr>
        <sz val="10"/>
        <rFont val="Noto Sans CJK SC"/>
        <family val="2"/>
      </rPr>
      <t xml:space="preserve">から</t>
    </r>
  </si>
  <si>
    <t xml:space="preserve">claude</t>
  </si>
  <si>
    <t xml:space="preserve">症状</t>
  </si>
  <si>
    <t xml:space="preserve">原因</t>
  </si>
  <si>
    <t xml:space="preserve">対処</t>
  </si>
  <si>
    <r>
      <rPr>
        <sz val="10"/>
        <rFont val="Meiryo UI"/>
        <family val="0"/>
        <charset val="1"/>
      </rPr>
      <t xml:space="preserve">Bash </t>
    </r>
    <r>
      <rPr>
        <sz val="10"/>
        <rFont val="Noto Sans CJK SC"/>
        <family val="2"/>
      </rPr>
      <t xml:space="preserve">でファイルを書こうとしたら拒否された</t>
    </r>
  </si>
  <si>
    <r>
      <rPr>
        <sz val="10"/>
        <rFont val="Noto Sans CJK SC"/>
        <family val="2"/>
      </rPr>
      <t xml:space="preserve">リダイレクト・</t>
    </r>
    <r>
      <rPr>
        <sz val="10"/>
        <rFont val="Meiryo UI"/>
        <family val="0"/>
        <charset val="1"/>
      </rPr>
      <t xml:space="preserve">sed -i </t>
    </r>
    <r>
      <rPr>
        <sz val="10"/>
        <rFont val="Noto Sans CJK SC"/>
        <family val="2"/>
      </rPr>
      <t xml:space="preserve">等でソースコードや要件を書き換えようとした</t>
    </r>
  </si>
  <si>
    <r>
      <rPr>
        <sz val="10"/>
        <rFont val="Meiryo UI"/>
        <family val="0"/>
        <charset val="1"/>
      </rPr>
      <t xml:space="preserve">Edit / Write </t>
    </r>
    <r>
      <rPr>
        <sz val="10"/>
        <rFont val="Noto Sans CJK SC"/>
        <family val="2"/>
      </rPr>
      <t xml:space="preserve">ツールで変更する（検査を通すため）。プロジェクト外（</t>
    </r>
    <r>
      <rPr>
        <sz val="10"/>
        <rFont val="Meiryo UI"/>
        <family val="0"/>
        <charset val="1"/>
      </rPr>
      <t xml:space="preserve">/tmp </t>
    </r>
    <r>
      <rPr>
        <sz val="10"/>
        <rFont val="Noto Sans CJK SC"/>
        <family val="2"/>
      </rPr>
      <t xml:space="preserve">等）やログへの出力は対象外</t>
    </r>
  </si>
  <si>
    <r>
      <rPr>
        <sz val="10"/>
        <rFont val="Noto Sans CJK SC"/>
        <family val="2"/>
      </rPr>
      <t xml:space="preserve">要件を </t>
    </r>
    <r>
      <rPr>
        <sz val="10"/>
        <rFont val="Meiryo UI"/>
        <family val="0"/>
        <charset val="1"/>
      </rPr>
      <t xml:space="preserve">approved </t>
    </r>
    <r>
      <rPr>
        <sz val="10"/>
        <rFont val="Noto Sans CJK SC"/>
        <family val="2"/>
      </rPr>
      <t xml:space="preserve">にしようとしたら確認が出た</t>
    </r>
  </si>
  <si>
    <t xml:space="preserve">要件の承認はユーザーが行う決まり</t>
  </si>
  <si>
    <r>
      <rPr>
        <sz val="10"/>
        <rFont val="Noto Sans CJK SC"/>
        <family val="2"/>
      </rPr>
      <t xml:space="preserve">内容を確認して許可する。自動化したい場合のみ </t>
    </r>
    <r>
      <rPr>
        <sz val="10"/>
        <rFont val="Meiryo UI"/>
        <family val="0"/>
        <charset val="1"/>
      </rPr>
      <t xml:space="preserve">enforcement.approval: off</t>
    </r>
  </si>
  <si>
    <r>
      <rPr>
        <sz val="10"/>
        <rFont val="Meiryo UI"/>
        <family val="0"/>
        <charset val="1"/>
      </rPr>
      <t xml:space="preserve">harness-allow </t>
    </r>
    <r>
      <rPr>
        <sz val="10"/>
        <rFont val="Noto Sans CJK SC"/>
        <family val="2"/>
      </rPr>
      <t xml:space="preserve">を書いたのに違反が消えない</t>
    </r>
  </si>
  <si>
    <r>
      <rPr>
        <sz val="10"/>
        <rFont val="Noto Sans CJK SC"/>
        <family val="2"/>
      </rPr>
      <t xml:space="preserve">参照している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が </t>
    </r>
    <r>
      <rPr>
        <sz val="10"/>
        <rFont val="Meiryo UI"/>
        <family val="0"/>
        <charset val="1"/>
      </rPr>
      <t xml:space="preserve">docs/adr/ </t>
    </r>
    <r>
      <rPr>
        <sz val="10"/>
        <rFont val="Noto Sans CJK SC"/>
        <family val="2"/>
      </rPr>
      <t xml:space="preserve">に無い</t>
    </r>
  </si>
  <si>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docs/adr/ADR-xxxx-*.md </t>
    </r>
    <r>
      <rPr>
        <sz val="10"/>
        <rFont val="Noto Sans CJK SC"/>
        <family val="2"/>
      </rPr>
      <t xml:space="preserve">として作成する（番号が一致すれば有効）</t>
    </r>
  </si>
  <si>
    <r>
      <rPr>
        <sz val="10"/>
        <rFont val="Noto Sans CJK SC"/>
        <family val="2"/>
      </rPr>
      <t xml:space="preserve">画面から 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クライアントを </t>
    </r>
    <r>
      <rPr>
        <sz val="10"/>
        <rFont val="Meiryo UI"/>
        <family val="0"/>
        <charset val="1"/>
      </rPr>
      <t xml:space="preserve">import </t>
    </r>
    <r>
      <rPr>
        <sz val="10"/>
        <rFont val="Noto Sans CJK SC"/>
        <family val="2"/>
      </rPr>
      <t xml:space="preserve">したらエラーになった</t>
    </r>
  </si>
  <si>
    <r>
      <rPr>
        <sz val="10"/>
        <rFont val="Noto Sans CJK SC"/>
        <family val="2"/>
      </rPr>
      <t xml:space="preserve">エイリアス（</t>
    </r>
    <r>
      <rPr>
        <sz val="10"/>
        <rFont val="Meiryo UI"/>
        <family val="0"/>
        <charset val="1"/>
      </rPr>
      <t xml:space="preserve">@/</t>
    </r>
    <r>
      <rPr>
        <sz val="10"/>
        <rFont val="Noto Sans CJK SC"/>
        <family val="2"/>
      </rPr>
      <t xml:space="preserve">）が未設定、または </t>
    </r>
    <r>
      <rPr>
        <sz val="10"/>
        <rFont val="Meiryo UI"/>
        <family val="0"/>
        <charset val="1"/>
      </rPr>
      <t xml:space="preserve">lib/api </t>
    </r>
    <r>
      <rPr>
        <sz val="10"/>
        <rFont val="Noto Sans CJK SC"/>
        <family val="2"/>
      </rPr>
      <t xml:space="preserve">が </t>
    </r>
    <r>
      <rPr>
        <sz val="10"/>
        <rFont val="Meiryo UI"/>
        <family val="0"/>
        <charset val="1"/>
      </rPr>
      <t xml:space="preserve">infrastructure </t>
    </r>
    <r>
      <rPr>
        <sz val="10"/>
        <rFont val="Noto Sans CJK SC"/>
        <family val="2"/>
      </rPr>
      <t xml:space="preserve">に割り当てられている</t>
    </r>
  </si>
  <si>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architecture.aliases </t>
    </r>
    <r>
      <rPr>
        <sz val="10"/>
        <rFont val="Noto Sans CJK SC"/>
        <family val="2"/>
      </rPr>
      <t xml:space="preserve">と、</t>
    </r>
    <r>
      <rPr>
        <sz val="10"/>
        <rFont val="Meiryo UI"/>
        <family val="0"/>
        <charset val="1"/>
      </rPr>
      <t xml:space="preserve">lib/api 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application </t>
    </r>
    <r>
      <rPr>
        <sz val="10"/>
        <rFont val="Noto Sans CJK SC"/>
        <family val="2"/>
      </rPr>
      <t xml:space="preserve">に割り当てる </t>
    </r>
    <r>
      <rPr>
        <sz val="10"/>
        <rFont val="Meiryo UI"/>
        <family val="0"/>
        <charset val="1"/>
      </rPr>
      <t xml:space="preserve">paths </t>
    </r>
    <r>
      <rPr>
        <sz val="10"/>
        <rFont val="Noto Sans CJK SC"/>
        <family val="2"/>
      </rPr>
      <t xml:space="preserve">を確認（</t>
    </r>
    <r>
      <rPr>
        <sz val="10"/>
        <rFont val="Meiryo UI"/>
        <family val="0"/>
        <charset val="1"/>
      </rPr>
      <t xml:space="preserve">init --force </t>
    </r>
    <r>
      <rPr>
        <sz val="10"/>
        <rFont val="Noto Sans CJK SC"/>
        <family val="2"/>
      </rPr>
      <t xml:space="preserve">で再検出可）</t>
    </r>
  </si>
  <si>
    <t xml:space="preserve">本番コードを書こうとしたら「工程ゲート」で拒否された</t>
  </si>
  <si>
    <r>
      <rPr>
        <sz val="10"/>
        <rFont val="Noto Sans CJK SC"/>
        <family val="2"/>
      </rPr>
      <t xml:space="preserve">承認済み（</t>
    </r>
    <r>
      <rPr>
        <sz val="10"/>
        <rFont val="Meiryo UI"/>
        <family val="0"/>
        <charset val="1"/>
      </rPr>
      <t xml:space="preserve">approved </t>
    </r>
    <r>
      <rPr>
        <sz val="10"/>
        <rFont val="Noto Sans CJK SC"/>
        <family val="2"/>
      </rPr>
      <t xml:space="preserve">かつ </t>
    </r>
    <r>
      <rPr>
        <sz val="10"/>
        <rFont val="Meiryo UI"/>
        <family val="0"/>
        <charset val="1"/>
      </rPr>
      <t xml:space="preserve">open_questions </t>
    </r>
    <r>
      <rPr>
        <sz val="10"/>
        <rFont val="Noto Sans CJK SC"/>
        <family val="2"/>
      </rPr>
      <t xml:space="preserve">無し）の要件、または用語集が無い</t>
    </r>
  </si>
  <si>
    <r>
      <rPr>
        <sz val="10"/>
        <rFont val="Meiryo UI"/>
        <family val="0"/>
        <charset val="1"/>
      </rPr>
      <t xml:space="preserve">/p1-req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/p2-model </t>
    </r>
    <r>
      <rPr>
        <sz val="10"/>
        <rFont val="Noto Sans CJK SC"/>
        <family val="2"/>
      </rPr>
      <t xml:space="preserve">を先に実施。既存アプリなら </t>
    </r>
    <r>
      <rPr>
        <sz val="10"/>
        <rFont val="Meiryo UI"/>
        <family val="0"/>
        <charset val="1"/>
      </rPr>
      <t xml:space="preserve">enforcement.phase_gate: warn </t>
    </r>
    <r>
      <rPr>
        <sz val="10"/>
        <rFont val="Noto Sans CJK SC"/>
        <family val="2"/>
      </rPr>
      <t xml:space="preserve">で段階導入</t>
    </r>
  </si>
  <si>
    <r>
      <rPr>
        <sz val="10"/>
        <rFont val="Noto Sans CJK SC"/>
        <family val="2"/>
      </rPr>
      <t xml:space="preserve">「モデル先行</t>
    </r>
    <r>
      <rPr>
        <sz val="10"/>
        <rFont val="Meiryo UI"/>
        <family val="0"/>
        <charset val="1"/>
      </rPr>
      <t xml:space="preserve">(P23)</t>
    </r>
    <r>
      <rPr>
        <sz val="10"/>
        <rFont val="Noto Sans CJK SC"/>
        <family val="2"/>
      </rPr>
      <t xml:space="preserve">」で拒否された</t>
    </r>
  </si>
  <si>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に作ろうとした型が用語集（</t>
    </r>
    <r>
      <rPr>
        <sz val="10"/>
        <rFont val="Meiryo UI"/>
        <family val="0"/>
        <charset val="1"/>
      </rPr>
      <t xml:space="preserve">domain.yaml</t>
    </r>
    <r>
      <rPr>
        <sz val="10"/>
        <rFont val="Noto Sans CJK SC"/>
        <family val="2"/>
      </rPr>
      <t xml:space="preserve">）に無い</t>
    </r>
  </si>
  <si>
    <r>
      <rPr>
        <sz val="10"/>
        <rFont val="Noto Sans CJK SC"/>
        <family val="2"/>
      </rPr>
      <t xml:space="preserve">既存用語の名前を使う。新しい概念なら </t>
    </r>
    <r>
      <rPr>
        <sz val="10"/>
        <rFont val="Meiryo UI"/>
        <family val="0"/>
        <charset val="1"/>
      </rPr>
      <t xml:space="preserve">/p2-model </t>
    </r>
    <r>
      <rPr>
        <sz val="10"/>
        <rFont val="Noto Sans CJK SC"/>
        <family val="2"/>
      </rPr>
      <t xml:space="preserve">で用語を追加（ユーザー確認）</t>
    </r>
  </si>
  <si>
    <r>
      <rPr>
        <sz val="10"/>
        <rFont val="Noto Sans CJK SC"/>
        <family val="2"/>
      </rPr>
      <t xml:space="preserve">書き込み後に </t>
    </r>
    <r>
      <rPr>
        <sz val="10"/>
        <rFont val="Meiryo UI"/>
        <family val="0"/>
        <charset val="1"/>
      </rPr>
      <t xml:space="preserve">lint </t>
    </r>
    <r>
      <rPr>
        <sz val="10"/>
        <rFont val="Noto Sans CJK SC"/>
        <family val="2"/>
      </rPr>
      <t xml:space="preserve">でブロックされた</t>
    </r>
  </si>
  <si>
    <t xml:space="preserve">原則違反（エラー）を検出</t>
  </si>
  <si>
    <r>
      <rPr>
        <sz val="10"/>
        <rFont val="Noto Sans CJK SC"/>
        <family val="2"/>
      </rPr>
      <t xml:space="preserve">メッセージの原則</t>
    </r>
    <r>
      <rPr>
        <sz val="10"/>
        <rFont val="Meiryo UI"/>
        <family val="0"/>
        <charset val="1"/>
      </rPr>
      <t xml:space="preserve">ID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harness explain Pxx</t>
    </r>
    <r>
      <rPr>
        <sz val="10"/>
        <rFont val="Noto Sans CJK SC"/>
        <family val="2"/>
      </rPr>
      <t xml:space="preserve">）に沿って直す。意図的なら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を書き </t>
    </r>
    <r>
      <rPr>
        <sz val="10"/>
        <rFont val="Meiryo UI"/>
        <family val="0"/>
        <charset val="1"/>
      </rPr>
      <t xml:space="preserve">harness-allow: Pxx ADR-xxxx</t>
    </r>
  </si>
  <si>
    <t xml:space="preserve">既存コードで警告・エラーが大量に出る</t>
  </si>
  <si>
    <t xml:space="preserve">導入前からの違反</t>
  </si>
  <si>
    <r>
      <rPr>
        <sz val="10"/>
        <rFont val="Meiryo UI"/>
        <family val="0"/>
        <charset val="1"/>
      </rPr>
      <t xml:space="preserve">harness baseline </t>
    </r>
    <r>
      <rPr>
        <sz val="10"/>
        <rFont val="Noto Sans CJK SC"/>
        <family val="2"/>
      </rPr>
      <t xml:space="preserve">で凍結し、新規の違反だけを対象にする。触ったファイルから </t>
    </r>
    <r>
      <rPr>
        <sz val="10"/>
        <rFont val="Meiryo UI"/>
        <family val="0"/>
        <charset val="1"/>
      </rPr>
      <t xml:space="preserve">/refactor </t>
    </r>
    <r>
      <rPr>
        <sz val="10"/>
        <rFont val="Noto Sans CJK SC"/>
        <family val="2"/>
      </rPr>
      <t xml:space="preserve">で減らす</t>
    </r>
  </si>
  <si>
    <r>
      <rPr>
        <sz val="10"/>
        <rFont val="Meiryo UI"/>
        <family val="0"/>
        <charset val="1"/>
      </rPr>
      <t xml:space="preserve">Claude </t>
    </r>
    <r>
      <rPr>
        <sz val="10"/>
        <rFont val="Noto Sans CJK SC"/>
        <family val="2"/>
      </rPr>
      <t xml:space="preserve">が終了しようとすると止められる</t>
    </r>
  </si>
  <si>
    <r>
      <rPr>
        <sz val="10"/>
        <rFont val="Meiryo UI"/>
        <family val="0"/>
        <charset val="1"/>
      </rPr>
      <t xml:space="preserve">Stop </t>
    </r>
    <r>
      <rPr>
        <sz val="10"/>
        <rFont val="Noto Sans CJK SC"/>
        <family val="2"/>
      </rPr>
      <t xml:space="preserve">フックが </t>
    </r>
    <r>
      <rPr>
        <sz val="10"/>
        <rFont val="Meiryo UI"/>
        <family val="0"/>
        <charset val="1"/>
      </rPr>
      <t xml:space="preserve">trace </t>
    </r>
    <r>
      <rPr>
        <sz val="10"/>
        <rFont val="Noto Sans CJK SC"/>
        <family val="2"/>
      </rPr>
      <t xml:space="preserve">のエラーを検出</t>
    </r>
  </si>
  <si>
    <r>
      <rPr>
        <sz val="10"/>
        <rFont val="Noto Sans CJK SC"/>
        <family val="2"/>
      </rPr>
      <t xml:space="preserve">表示されたエラーを解消。段階導入中は </t>
    </r>
    <r>
      <rPr>
        <sz val="10"/>
        <rFont val="Meiryo UI"/>
        <family val="0"/>
        <charset val="1"/>
      </rPr>
      <t xml:space="preserve">enforcement.stop_check: warn</t>
    </r>
  </si>
  <si>
    <r>
      <rPr>
        <sz val="10"/>
        <rFont val="Meiryo UI"/>
        <family val="0"/>
        <charset val="1"/>
      </rPr>
      <t xml:space="preserve">git tag / npm publish </t>
    </r>
    <r>
      <rPr>
        <sz val="10"/>
        <rFont val="Noto Sans CJK SC"/>
        <family val="2"/>
      </rPr>
      <t xml:space="preserve">が拒否された</t>
    </r>
  </si>
  <si>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未実行・失敗、</t>
    </r>
    <r>
      <rPr>
        <sz val="10"/>
        <rFont val="Meiryo UI"/>
        <family val="0"/>
        <charset val="1"/>
      </rPr>
      <t xml:space="preserve">HEAD </t>
    </r>
    <r>
      <rPr>
        <sz val="10"/>
        <rFont val="Noto Sans CJK SC"/>
        <family val="2"/>
      </rPr>
      <t xml:space="preserve">が変わった、未コミット、リリースノートが無い</t>
    </r>
  </si>
  <si>
    <r>
      <rPr>
        <sz val="10"/>
        <rFont val="Noto Sans CJK SC"/>
        <family val="2"/>
      </rPr>
      <t xml:space="preserve">コミット → </t>
    </r>
    <r>
      <rPr>
        <sz val="10"/>
        <rFont val="Meiryo UI"/>
        <family val="0"/>
        <charset val="1"/>
      </rPr>
      <t xml:space="preserve">harness verify → docs/releases/vX.Y.Z.md → </t>
    </r>
    <r>
      <rPr>
        <sz val="10"/>
        <rFont val="Noto Sans CJK SC"/>
        <family val="2"/>
      </rPr>
      <t xml:space="preserve">再度 </t>
    </r>
    <r>
      <rPr>
        <sz val="10"/>
        <rFont val="Meiryo UI"/>
        <family val="0"/>
        <charset val="1"/>
      </rPr>
      <t xml:space="preserve">verify → </t>
    </r>
    <r>
      <rPr>
        <sz val="10"/>
        <rFont val="Noto Sans CJK SC"/>
        <family val="2"/>
      </rPr>
      <t xml:space="preserve">タグ</t>
    </r>
  </si>
  <si>
    <t xml:space="preserve">ハーネスのファイルを編集しようとすると確認が出る</t>
  </si>
  <si>
    <r>
      <rPr>
        <sz val="10"/>
        <rFont val="Noto Sans CJK SC"/>
        <family val="2"/>
      </rPr>
      <t xml:space="preserve">保護対象（</t>
    </r>
    <r>
      <rPr>
        <sz val="10"/>
        <rFont val="Meiryo UI"/>
        <family val="0"/>
        <charset val="1"/>
      </rPr>
      <t xml:space="preserve">protected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</si>
  <si>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ルールを弱める変更でないか確認して承認。恒常的な変更は </t>
    </r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で</t>
    </r>
  </si>
  <si>
    <t xml:space="preserve">誤検出だと思う</t>
  </si>
  <si>
    <t xml:space="preserve">正規表現ベースの検査の限界</t>
  </si>
  <si>
    <r>
      <rPr>
        <sz val="10"/>
        <rFont val="Noto Sans CJK SC"/>
        <family val="2"/>
      </rPr>
      <t xml:space="preserve">その箇所は </t>
    </r>
    <r>
      <rPr>
        <sz val="10"/>
        <rFont val="Meiryo UI"/>
        <family val="0"/>
        <charset val="1"/>
      </rPr>
      <t xml:space="preserve">harness-allow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付き）。ルール自体の問題なら </t>
    </r>
    <r>
      <rPr>
        <sz val="10"/>
        <rFont val="Meiryo UI"/>
        <family val="0"/>
        <charset val="1"/>
      </rPr>
      <t xml:space="preserve">.harness-rules </t>
    </r>
    <r>
      <rPr>
        <sz val="10"/>
        <rFont val="Noto Sans CJK SC"/>
        <family val="2"/>
      </rPr>
      <t xml:space="preserve">で </t>
    </r>
    <r>
      <rPr>
        <sz val="10"/>
        <rFont val="Meiryo UI"/>
        <family val="0"/>
        <charset val="1"/>
      </rPr>
      <t xml:space="preserve">severity_overrides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tests/fixtures </t>
    </r>
    <r>
      <rPr>
        <sz val="10"/>
        <rFont val="Noto Sans CJK SC"/>
        <family val="2"/>
      </rPr>
      <t xml:space="preserve">に </t>
    </r>
    <r>
      <rPr>
        <sz val="10"/>
        <rFont val="Meiryo UI"/>
        <family val="0"/>
        <charset val="1"/>
      </rPr>
      <t xml:space="preserve">good </t>
    </r>
    <r>
      <rPr>
        <sz val="10"/>
        <rFont val="Noto Sans CJK SC"/>
        <family val="2"/>
      </rPr>
      <t xml:space="preserve">例を追加して </t>
    </r>
    <r>
      <rPr>
        <sz val="10"/>
        <rFont val="Meiryo UI"/>
        <family val="0"/>
        <charset val="1"/>
      </rPr>
      <t xml:space="preserve">selftest</t>
    </r>
  </si>
  <si>
    <t xml:space="preserve">レイヤの判定が違う</t>
  </si>
  <si>
    <r>
      <rPr>
        <sz val="10"/>
        <rFont val="Noto Sans CJK SC"/>
        <family val="2"/>
      </rPr>
      <t xml:space="preserve">ディレクトリ名が既定の </t>
    </r>
    <r>
      <rPr>
        <sz val="10"/>
        <rFont val="Meiryo UI"/>
        <family val="0"/>
        <charset val="1"/>
      </rPr>
      <t xml:space="preserve">segments </t>
    </r>
    <r>
      <rPr>
        <sz val="10"/>
        <rFont val="Noto Sans CJK SC"/>
        <family val="2"/>
      </rPr>
      <t xml:space="preserve">と違う</t>
    </r>
  </si>
  <si>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architecture.layers </t>
    </r>
    <r>
      <rPr>
        <sz val="10"/>
        <rFont val="Noto Sans CJK SC"/>
        <family val="2"/>
      </rPr>
      <t xml:space="preserve">に </t>
    </r>
    <r>
      <rPr>
        <sz val="10"/>
        <rFont val="Meiryo UI"/>
        <family val="0"/>
        <charset val="1"/>
      </rPr>
      <t xml:space="preserve">segments </t>
    </r>
    <r>
      <rPr>
        <sz val="10"/>
        <rFont val="Noto Sans CJK SC"/>
        <family val="2"/>
      </rPr>
      <t xml:space="preserve">または </t>
    </r>
    <r>
      <rPr>
        <sz val="10"/>
        <rFont val="Meiryo UI"/>
        <family val="0"/>
        <charset val="1"/>
      </rPr>
      <t xml:space="preserve">paths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glob</t>
    </r>
    <r>
      <rPr>
        <sz val="10"/>
        <rFont val="Noto Sans CJK SC"/>
        <family val="2"/>
      </rPr>
      <t xml:space="preserve">）を追加</t>
    </r>
  </si>
  <si>
    <r>
      <rPr>
        <sz val="10"/>
        <rFont val="Meiryo UI"/>
        <family val="0"/>
        <charset val="1"/>
      </rPr>
      <t xml:space="preserve">Windows </t>
    </r>
    <r>
      <rPr>
        <sz val="10"/>
        <rFont val="Noto Sans CJK SC"/>
        <family val="2"/>
      </rPr>
      <t xml:space="preserve">でフックが動かない</t>
    </r>
  </si>
  <si>
    <r>
      <rPr>
        <sz val="10"/>
        <rFont val="Meiryo UI"/>
        <family val="0"/>
        <charset val="1"/>
      </rPr>
      <t xml:space="preserve">python3 </t>
    </r>
    <r>
      <rPr>
        <sz val="10"/>
        <rFont val="Noto Sans CJK SC"/>
        <family val="2"/>
      </rPr>
      <t xml:space="preserve">コマンドが無い</t>
    </r>
  </si>
  <si>
    <r>
      <rPr>
        <sz val="10"/>
        <rFont val="Meiryo UI"/>
        <family val="0"/>
        <charset val="1"/>
      </rPr>
      <t xml:space="preserve">.claude/settings.json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python3 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python </t>
    </r>
    <r>
      <rPr>
        <sz val="10"/>
        <rFont val="Noto Sans CJK SC"/>
        <family val="2"/>
      </rPr>
      <t xml:space="preserve">か </t>
    </r>
    <r>
      <rPr>
        <sz val="10"/>
        <rFont val="Meiryo UI"/>
        <family val="0"/>
        <charset val="1"/>
      </rPr>
      <t xml:space="preserve">py </t>
    </r>
    <r>
      <rPr>
        <sz val="10"/>
        <rFont val="Noto Sans CJK SC"/>
        <family val="2"/>
      </rPr>
      <t xml:space="preserve">に置き換える</t>
    </r>
  </si>
  <si>
    <t xml:space="preserve">対応していない言語を使っている</t>
  </si>
  <si>
    <t xml:space="preserve">言語パックが無い</t>
  </si>
  <si>
    <r>
      <rPr>
        <sz val="10"/>
        <rFont val="Meiryo UI"/>
        <family val="0"/>
        <charset val="1"/>
      </rPr>
      <t xml:space="preserve">lib/lang.py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LANGS </t>
    </r>
    <r>
      <rPr>
        <sz val="10"/>
        <rFont val="Noto Sans CJK SC"/>
        <family val="2"/>
      </rPr>
      <t xml:space="preserve">に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エントリ追加し </t>
    </r>
    <r>
      <rPr>
        <sz val="10"/>
        <rFont val="Meiryo UI"/>
        <family val="0"/>
        <charset val="1"/>
      </rPr>
      <t xml:space="preserve">rules/&lt;lang&gt;.yaml </t>
    </r>
    <r>
      <rPr>
        <sz val="10"/>
        <rFont val="Noto Sans CJK SC"/>
        <family val="2"/>
      </rPr>
      <t xml:space="preserve">を作る。</t>
    </r>
    <r>
      <rPr>
        <sz val="10"/>
        <rFont val="Meiryo UI"/>
        <family val="0"/>
        <charset val="1"/>
      </rPr>
      <t xml:space="preserve">selftest </t>
    </r>
    <r>
      <rPr>
        <sz val="10"/>
        <rFont val="Noto Sans CJK SC"/>
        <family val="2"/>
      </rPr>
      <t xml:space="preserve">で確認</t>
    </r>
  </si>
  <si>
    <r>
      <rPr>
        <sz val="10"/>
        <rFont val="Meiryo UI"/>
        <family val="0"/>
        <charset val="1"/>
      </rPr>
      <t xml:space="preserve">PyYAML </t>
    </r>
    <r>
      <rPr>
        <sz val="10"/>
        <rFont val="Noto Sans CJK SC"/>
        <family val="2"/>
      </rPr>
      <t xml:space="preserve">が無いと言われる</t>
    </r>
  </si>
  <si>
    <t xml:space="preserve">依存パッケージ未導入</t>
  </si>
  <si>
    <t xml:space="preserve">種別</t>
  </si>
  <si>
    <t xml:space="preserve">工程</t>
  </si>
  <si>
    <t xml:space="preserve">書籍の章</t>
  </si>
  <si>
    <t xml:space="preserve">使う場面・きっかけ</t>
  </si>
  <si>
    <t xml:space="preserve">主な出力</t>
  </si>
  <si>
    <r>
      <rPr>
        <b val="true"/>
        <sz val="10"/>
        <color rgb="FFFFFFFF"/>
        <rFont val="Noto Sans CJK SC"/>
        <family val="2"/>
      </rPr>
      <t xml:space="preserve">説明（</t>
    </r>
    <r>
      <rPr>
        <b val="true"/>
        <sz val="10"/>
        <color rgb="FFFFFFFF"/>
        <rFont val="Meiryo UI"/>
        <family val="0"/>
        <charset val="1"/>
      </rPr>
      <t xml:space="preserve">Claude </t>
    </r>
    <r>
      <rPr>
        <b val="true"/>
        <sz val="10"/>
        <color rgb="FFFFFFFF"/>
        <rFont val="Noto Sans CJK SC"/>
        <family val="2"/>
      </rPr>
      <t xml:space="preserve">が選ぶ基準）</t>
    </r>
  </si>
  <si>
    <t xml:space="preserve">参照資料</t>
  </si>
  <si>
    <r>
      <rPr>
        <sz val="10"/>
        <rFont val="Meiryo UI"/>
        <family val="0"/>
        <charset val="1"/>
      </rPr>
      <t xml:space="preserve">01 </t>
    </r>
    <r>
      <rPr>
        <sz val="10"/>
        <rFont val="Noto Sans CJK SC"/>
        <family val="2"/>
      </rPr>
      <t xml:space="preserve">要件定義</t>
    </r>
  </si>
  <si>
    <t xml:space="preserve">全体</t>
  </si>
  <si>
    <t xml:space="preserve">新機能・改修の相談、「要件をまとめて」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</si>
  <si>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01 </t>
    </r>
    <r>
      <rPr>
        <sz val="10"/>
        <rFont val="Noto Sans CJK SC"/>
        <family val="2"/>
      </rPr>
      <t xml:space="preserve">要件定義。業務の関心事・業務ルール・受入基準を </t>
    </r>
    <r>
      <rPr>
        <sz val="10"/>
        <rFont val="Meiryo UI"/>
        <family val="0"/>
        <charset val="1"/>
      </rPr>
      <t xml:space="preserve">docs/requirements/REQ-xxx.yaml </t>
    </r>
    <r>
      <rPr>
        <sz val="10"/>
        <rFont val="Noto Sans CJK SC"/>
        <family val="2"/>
      </rPr>
      <t xml:space="preserve">にまとめる。新機能・改修の相談、「要件をまとめて」「何を作るか整理」などで使う。</t>
    </r>
  </si>
  <si>
    <t xml:space="preserve">/p2-model</t>
  </si>
  <si>
    <r>
      <rPr>
        <sz val="10"/>
        <rFont val="Meiryo UI"/>
        <family val="0"/>
        <charset val="1"/>
      </rPr>
      <t xml:space="preserve">02 </t>
    </r>
    <r>
      <rPr>
        <sz val="10"/>
        <rFont val="Noto Sans CJK SC"/>
        <family val="2"/>
      </rPr>
      <t xml:space="preserve">ドメインモデル</t>
    </r>
  </si>
  <si>
    <t xml:space="preserve">用語の整理、実装中に新しい概念が出たとき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</si>
  <si>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02 </t>
    </r>
    <r>
      <rPr>
        <sz val="10"/>
        <rFont val="Noto Sans CJK SC"/>
        <family val="2"/>
      </rPr>
      <t xml:space="preserve">ドメインモデリング。承認済み要件の言葉から </t>
    </r>
    <r>
      <rPr>
        <sz val="10"/>
        <rFont val="Meiryo UI"/>
        <family val="0"/>
        <charset val="1"/>
      </rPr>
      <t xml:space="preserve">docs/model/domain.yaml</t>
    </r>
    <r>
      <rPr>
        <sz val="10"/>
        <rFont val="Noto Sans CJK SC"/>
        <family val="2"/>
      </rPr>
      <t xml:space="preserve">（用語集兼モデル）を作成・更新する。「モデルを作って」「用語を整理」や、実装中に新しい概念が出たときに使う。</t>
    </r>
  </si>
  <si>
    <r>
      <rPr>
        <sz val="10"/>
        <rFont val="Meiryo UI"/>
        <family val="0"/>
        <charset val="1"/>
      </rPr>
      <t xml:space="preserve">03 </t>
    </r>
    <r>
      <rPr>
        <sz val="10"/>
        <rFont val="Noto Sans CJK SC"/>
        <family val="2"/>
      </rPr>
      <t xml:space="preserve">設計</t>
    </r>
  </si>
  <si>
    <t xml:space="preserve">5–8</t>
  </si>
  <si>
    <t xml:space="preserve">承認済み要件の設計</t>
  </si>
  <si>
    <t xml:space="preserve">docs/design/REQ-xxx.md, docs/adr/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</si>
  <si>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03 </t>
    </r>
    <r>
      <rPr>
        <sz val="10"/>
        <rFont val="Noto Sans CJK SC"/>
        <family val="2"/>
      </rPr>
      <t xml:space="preserve">設計。承認済み要件ごとに </t>
    </r>
    <r>
      <rPr>
        <sz val="10"/>
        <rFont val="Meiryo UI"/>
        <family val="0"/>
        <charset val="1"/>
      </rPr>
      <t xml:space="preserve">docs/design/REQ-xxx.md</t>
    </r>
    <r>
      <rPr>
        <sz val="10"/>
        <rFont val="Noto Sans CJK SC"/>
        <family val="2"/>
      </rPr>
      <t xml:space="preserve">（ユースケース・外部契約・永続化・異常系）を書き、判断を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に残す。</t>
    </r>
  </si>
  <si>
    <t xml:space="preserve">/p4-impl</t>
  </si>
  <si>
    <r>
      <rPr>
        <sz val="10"/>
        <rFont val="Meiryo UI"/>
        <family val="0"/>
        <charset val="1"/>
      </rPr>
      <t xml:space="preserve">04 </t>
    </r>
    <r>
      <rPr>
        <sz val="10"/>
        <rFont val="Noto Sans CJK SC"/>
        <family val="2"/>
      </rPr>
      <t xml:space="preserve">実装</t>
    </r>
  </si>
  <si>
    <t xml:space="preserve">1–3, 5</t>
  </si>
  <si>
    <t xml:space="preserve">コードを書くとき（必須）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</si>
  <si>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04 </t>
    </r>
    <r>
      <rPr>
        <sz val="10"/>
        <rFont val="Noto Sans CJK SC"/>
        <family val="2"/>
      </rPr>
      <t xml:space="preserve">実装。設計に沿ってコードを書く。値オブジェクト・完全コンストラクタ・ファーストクラスコレクション・区分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状態・仕様オブジェクトの実装パターンを言語別に参照する。コードを書くときは必ず使う。</t>
    </r>
  </si>
  <si>
    <t xml:space="preserve">patterns-csharp.md, patterns-go.md, patterns-java.md, patterns-php.md, patterns-python.md, patterns-ruby.md, patterns-typescript.md, patterns.md</t>
  </si>
  <si>
    <r>
      <rPr>
        <sz val="10"/>
        <rFont val="Meiryo UI"/>
        <family val="0"/>
        <charset val="1"/>
      </rPr>
      <t xml:space="preserve">05 </t>
    </r>
    <r>
      <rPr>
        <sz val="10"/>
        <rFont val="Noto Sans CJK SC"/>
        <family val="2"/>
      </rPr>
      <t xml:space="preserve">テスト</t>
    </r>
  </si>
  <si>
    <t xml:space="preserve">テスト作成・受入基準の紐付け</t>
  </si>
  <si>
    <t xml:space="preserve">テストコード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</si>
  <si>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05 </t>
    </r>
    <r>
      <rPr>
        <sz val="10"/>
        <rFont val="Noto Sans CJK SC"/>
        <family val="2"/>
      </rPr>
      <t xml:space="preserve">テスト。受入基準・業務ルールからテストを設計・実装し、全受入基準をテストに紐付ける。「テストを書いて」「受入テスト」「カバレッジ」で使う。</t>
    </r>
  </si>
  <si>
    <r>
      <rPr>
        <sz val="10"/>
        <rFont val="Meiryo UI"/>
        <family val="0"/>
        <charset val="1"/>
      </rPr>
      <t xml:space="preserve">06 </t>
    </r>
    <r>
      <rPr>
        <sz val="10"/>
        <rFont val="Noto Sans CJK SC"/>
        <family val="2"/>
      </rPr>
      <t xml:space="preserve">リリース</t>
    </r>
  </si>
  <si>
    <t xml:space="preserve">8–9</t>
  </si>
  <si>
    <t xml:space="preserve">「リリースして」「タグを切って」</t>
  </si>
  <si>
    <r>
      <rPr>
        <sz val="10"/>
        <rFont val="Meiryo UI"/>
        <family val="0"/>
        <charset val="1"/>
      </rPr>
      <t xml:space="preserve">docs/releases/vX.Y.Z.md, </t>
    </r>
    <r>
      <rPr>
        <sz val="10"/>
        <rFont val="Noto Sans CJK SC"/>
        <family val="2"/>
      </rPr>
      <t xml:space="preserve">タグ</t>
    </r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</si>
  <si>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06 </t>
    </r>
    <r>
      <rPr>
        <sz val="10"/>
        <rFont val="Noto Sans CJK SC"/>
        <family val="2"/>
      </rPr>
      <t xml:space="preserve">リリース。</t>
    </r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実行・リリースノート作成・マイグレーション確認・タグ付け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公開までを行う。「リリースして」「タグを切って」「</t>
    </r>
    <r>
      <rPr>
        <sz val="10"/>
        <rFont val="Meiryo UI"/>
        <family val="0"/>
        <charset val="1"/>
      </rPr>
      <t xml:space="preserve">publish </t>
    </r>
    <r>
      <rPr>
        <sz val="10"/>
        <rFont val="Noto Sans CJK SC"/>
        <family val="2"/>
      </rPr>
      <t xml:space="preserve">して」「本番に出す」で使う。</t>
    </r>
  </si>
  <si>
    <t xml:space="preserve">補助</t>
  </si>
  <si>
    <r>
      <rPr>
        <sz val="10"/>
        <rFont val="Meiryo UI"/>
        <family val="0"/>
        <charset val="1"/>
      </rPr>
      <t xml:space="preserve">01–02 </t>
    </r>
    <r>
      <rPr>
        <sz val="10"/>
        <rFont val="Noto Sans CJK SC"/>
        <family val="2"/>
      </rPr>
      <t xml:space="preserve">の前段</t>
    </r>
  </si>
  <si>
    <t xml:space="preserve">業務理解、ヒアリング準備、資料から用語抽出</t>
  </si>
  <si>
    <r>
      <rPr>
        <sz val="10"/>
        <rFont val="Noto Sans CJK SC"/>
        <family val="2"/>
      </rPr>
      <t xml:space="preserve">業務知識の引き出しとドメインオブジェクトの発見（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章）。業務担当者へのヒアリング準備・議事メモの整理・資料からの用語抽出・ヒト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モノ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コトの分類・言葉のあいまいさの具体化に使う。要件定義</t>
    </r>
    <r>
      <rPr>
        <sz val="10"/>
        <rFont val="Meiryo UI"/>
        <family val="0"/>
        <charset val="1"/>
      </rPr>
      <t xml:space="preserve">(/p1-req)</t>
    </r>
    <r>
      <rPr>
        <sz val="10"/>
        <rFont val="Noto Sans CJK SC"/>
        <family val="2"/>
      </rPr>
      <t xml:space="preserve">やモデリング</t>
    </r>
    <r>
      <rPr>
        <sz val="10"/>
        <rFont val="Meiryo UI"/>
        <family val="0"/>
        <charset val="1"/>
      </rPr>
      <t xml:space="preserve">(/p2-model)</t>
    </r>
    <r>
      <rPr>
        <sz val="10"/>
        <rFont val="Noto Sans CJK SC"/>
        <family val="2"/>
      </rPr>
      <t xml:space="preserve">の前段で、「業務を理解したい」「ヒアリング項目を作って」「この資料から用語を拾って」などで使う。</t>
    </r>
  </si>
  <si>
    <t xml:space="preserve">questions.md, vocabulary.md</t>
  </si>
  <si>
    <r>
      <rPr>
        <sz val="10"/>
        <rFont val="Meiryo UI"/>
        <family val="0"/>
        <charset val="1"/>
      </rPr>
      <t xml:space="preserve">03 </t>
    </r>
    <r>
      <rPr>
        <sz val="10"/>
        <rFont val="Noto Sans CJK SC"/>
        <family val="2"/>
      </rPr>
      <t xml:space="preserve">設計 </t>
    </r>
    <r>
      <rPr>
        <sz val="10"/>
        <rFont val="Meiryo UI"/>
        <family val="0"/>
        <charset val="1"/>
      </rPr>
      <t xml:space="preserve">/ 04 </t>
    </r>
    <r>
      <rPr>
        <sz val="10"/>
        <rFont val="Noto Sans CJK SC"/>
        <family val="2"/>
      </rPr>
      <t xml:space="preserve">実装</t>
    </r>
  </si>
  <si>
    <t xml:space="preserve">画面設計、表示ロジックの置き場所</t>
  </si>
  <si>
    <r>
      <rPr>
        <sz val="10"/>
        <rFont val="Meiryo UI"/>
        <family val="0"/>
        <charset val="1"/>
      </rPr>
      <t xml:space="preserve">design.md </t>
    </r>
    <r>
      <rPr>
        <sz val="10"/>
        <rFont val="Noto Sans CJK SC"/>
        <family val="2"/>
      </rPr>
      <t xml:space="preserve">画面節</t>
    </r>
  </si>
  <si>
    <r>
      <rPr>
        <sz val="10"/>
        <rFont val="Noto Sans CJK SC"/>
        <family val="2"/>
      </rPr>
      <t xml:space="preserve">画面とドメインオブジェクトの設計を連動させる（</t>
    </r>
    <r>
      <rPr>
        <sz val="10"/>
        <rFont val="Meiryo UI"/>
        <family val="0"/>
        <charset val="1"/>
      </rPr>
      <t xml:space="preserve">7</t>
    </r>
    <r>
      <rPr>
        <sz val="10"/>
        <rFont val="Noto Sans CJK SC"/>
        <family val="2"/>
      </rPr>
      <t xml:space="preserve">章）。画面設計・画面の分割・項目の並び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グルーピング・状態ごとの表示・フロントエンドの実装方針・ヘルプ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マニュアルの整合に使う。「画面を設計して」「この画面が複雑」「表示ロジックをどこに書くか」で使う。</t>
    </r>
  </si>
  <si>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設計、他システム連携</t>
    </r>
  </si>
  <si>
    <r>
      <rPr>
        <sz val="10"/>
        <rFont val="Meiryo UI"/>
        <family val="0"/>
        <charset val="1"/>
      </rPr>
      <t xml:space="preserve">design.md </t>
    </r>
    <r>
      <rPr>
        <sz val="10"/>
        <rFont val="Noto Sans CJK SC"/>
        <family val="2"/>
      </rPr>
      <t xml:space="preserve">契約節</t>
    </r>
    <r>
      <rPr>
        <sz val="10"/>
        <rFont val="Meiryo UI"/>
        <family val="0"/>
        <charset val="1"/>
      </rPr>
      <t xml:space="preserve">, OpenAPI</t>
    </r>
  </si>
  <si>
    <r>
      <rPr>
        <sz val="10"/>
        <rFont val="Noto Sans CJK SC"/>
        <family val="2"/>
      </rPr>
      <t xml:space="preserve">アプリケーション間連携と </t>
    </r>
    <r>
      <rPr>
        <sz val="10"/>
        <rFont val="Meiryo UI"/>
        <family val="0"/>
        <charset val="1"/>
      </rPr>
      <t xml:space="preserve">Web API </t>
    </r>
    <r>
      <rPr>
        <sz val="10"/>
        <rFont val="Noto Sans CJK SC"/>
        <family val="2"/>
      </rPr>
      <t xml:space="preserve">の設計（</t>
    </r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章）。連携方式の選択（ファイル</t>
    </r>
    <r>
      <rPr>
        <sz val="10"/>
        <rFont val="Meiryo UI"/>
        <family val="0"/>
        <charset val="1"/>
      </rPr>
      <t xml:space="preserve">/DB</t>
    </r>
    <r>
      <rPr>
        <sz val="10"/>
        <rFont val="Noto Sans CJK SC"/>
        <family val="2"/>
      </rPr>
      <t xml:space="preserve">共有</t>
    </r>
    <r>
      <rPr>
        <sz val="10"/>
        <rFont val="Meiryo UI"/>
        <family val="0"/>
        <charset val="1"/>
      </rPr>
      <t xml:space="preserve">/Web API/</t>
    </r>
    <r>
      <rPr>
        <sz val="10"/>
        <rFont val="Noto Sans CJK SC"/>
        <family val="2"/>
      </rPr>
      <t xml:space="preserve">メッセージング）、エンドポイント・ステータスコード・エラー形式、</t>
    </r>
    <r>
      <rPr>
        <sz val="10"/>
        <rFont val="Meiryo UI"/>
        <family val="0"/>
        <charset val="1"/>
      </rPr>
      <t xml:space="preserve">OpenAPI </t>
    </r>
    <r>
      <rPr>
        <sz val="10"/>
        <rFont val="Noto Sans CJK SC"/>
        <family val="2"/>
      </rPr>
      <t xml:space="preserve">での合意、バージョン管理、ドメインオブジェクトとデータ形式の変換に使う。「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を設計して」「他システムと連携」「外部連携の方式」で使う。</t>
    </r>
  </si>
  <si>
    <t xml:space="preserve">テーブル設計、マイグレーション作成</t>
  </si>
  <si>
    <r>
      <rPr>
        <sz val="10"/>
        <rFont val="Meiryo UI"/>
        <family val="0"/>
        <charset val="1"/>
      </rPr>
      <t xml:space="preserve">design.md </t>
    </r>
    <r>
      <rPr>
        <sz val="10"/>
        <rFont val="Noto Sans CJK SC"/>
        <family val="2"/>
      </rPr>
      <t xml:space="preserve">永続化節</t>
    </r>
    <r>
      <rPr>
        <sz val="10"/>
        <rFont val="Meiryo UI"/>
        <family val="0"/>
        <charset val="1"/>
      </rPr>
      <t xml:space="preserve">, </t>
    </r>
    <r>
      <rPr>
        <sz val="10"/>
        <rFont val="Noto Sans CJK SC"/>
        <family val="2"/>
      </rPr>
      <t xml:space="preserve">マイグレーション</t>
    </r>
  </si>
  <si>
    <r>
      <rPr>
        <sz val="10"/>
        <rFont val="Noto Sans CJK SC"/>
        <family val="2"/>
      </rPr>
      <t xml:space="preserve">データベース設計とドメインオブジェクトのマッピング（</t>
    </r>
    <r>
      <rPr>
        <sz val="10"/>
        <rFont val="Meiryo UI"/>
        <family val="0"/>
        <charset val="1"/>
      </rPr>
      <t xml:space="preserve">6</t>
    </r>
    <r>
      <rPr>
        <sz val="10"/>
        <rFont val="Noto Sans CJK SC"/>
        <family val="2"/>
      </rPr>
      <t xml:space="preserve">章）。テーブル設計・マイグレーション作成・制約・履歴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イベントの記録・状態や残高の導出・オブジェクトとテーブルの変換方針に使う。「テーブルを設計して」「マイグレーションを書いて」「このテーブルが複雑」で使う。</t>
    </r>
  </si>
  <si>
    <t xml:space="preserve">保守・改善</t>
  </si>
  <si>
    <t xml:space="preserve">1–3, 10</t>
  </si>
  <si>
    <t xml:space="preserve">既存コードの改善、読みにくいコード</t>
  </si>
  <si>
    <r>
      <rPr>
        <sz val="10"/>
        <rFont val="Noto Sans CJK SC"/>
        <family val="2"/>
      </rPr>
      <t xml:space="preserve">既存コードを少しずつオブジェクト指向らしく改善する（</t>
    </r>
    <r>
      <rPr>
        <sz val="10"/>
        <rFont val="Meiryo UI"/>
        <family val="0"/>
        <charset val="1"/>
      </rPr>
      <t xml:space="preserve">10</t>
    </r>
    <r>
      <rPr>
        <sz val="10"/>
        <rFont val="Noto Sans CJK SC"/>
        <family val="2"/>
      </rPr>
      <t xml:space="preserve">章・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章）。長いメソッド・巨大クラス・重複コード・データクラス</t>
    </r>
    <r>
      <rPr>
        <sz val="10"/>
        <rFont val="Meiryo UI"/>
        <family val="0"/>
        <charset val="1"/>
      </rPr>
      <t xml:space="preserve">+</t>
    </r>
    <r>
      <rPr>
        <sz val="10"/>
        <rFont val="Noto Sans CJK SC"/>
        <family val="2"/>
      </rPr>
      <t xml:space="preserve">手続き的サービスの改善、既存システムへのハーネス導入後の段階的改善に使う。「リファクタリングして」「このコードを整理」「読みにくい」で使う。</t>
    </r>
  </si>
  <si>
    <t xml:space="preserve">進捗報告、見積もり、ドキュメント方針</t>
  </si>
  <si>
    <r>
      <rPr>
        <sz val="10"/>
        <rFont val="Noto Sans CJK SC"/>
        <family val="2"/>
      </rPr>
      <t xml:space="preserve">報告内容</t>
    </r>
    <r>
      <rPr>
        <sz val="10"/>
        <rFont val="Meiryo UI"/>
        <family val="0"/>
        <charset val="1"/>
      </rPr>
      <t xml:space="preserve">, docs/overview.md</t>
    </r>
  </si>
  <si>
    <r>
      <rPr>
        <sz val="10"/>
        <rFont val="Noto Sans CJK SC"/>
        <family val="2"/>
      </rPr>
      <t xml:space="preserve">ドメインモデル中心の開発のマネジメント（</t>
    </r>
    <r>
      <rPr>
        <sz val="10"/>
        <rFont val="Meiryo UI"/>
        <family val="0"/>
        <charset val="1"/>
      </rPr>
      <t xml:space="preserve">9</t>
    </r>
    <r>
      <rPr>
        <sz val="10"/>
        <rFont val="Noto Sans CJK SC"/>
        <family val="2"/>
      </rPr>
      <t xml:space="preserve">章）。進捗報告・見積もり・品質保証の説明・ドキュメント方針・体制の相談に使う。「進捗をまとめて」「見積もって」「どのドキュメントを残すか」「顧客への報告」で使う。</t>
    </r>
  </si>
  <si>
    <t xml:space="preserve">エージェント</t>
  </si>
  <si>
    <t xml:space="preserve">役割</t>
  </si>
  <si>
    <t xml:space="preserve">使う場面</t>
  </si>
  <si>
    <t xml:space="preserve">使えるツール</t>
  </si>
  <si>
    <t xml:space="preserve">ファイル変更</t>
  </si>
  <si>
    <r>
      <rPr>
        <sz val="10"/>
        <rFont val="Noto Sans CJK SC"/>
        <family val="2"/>
      </rPr>
      <t xml:space="preserve">指摘の意味を </t>
    </r>
    <r>
      <rPr>
        <sz val="10"/>
        <rFont val="Meiryo UI"/>
        <family val="0"/>
        <charset val="1"/>
      </rPr>
      <t xml:space="preserve">Before/After </t>
    </r>
    <r>
      <rPr>
        <sz val="10"/>
        <rFont val="Noto Sans CJK SC"/>
        <family val="2"/>
      </rPr>
      <t xml:space="preserve">と変更箇所の数で説明（教育）</t>
    </r>
  </si>
  <si>
    <t xml:space="preserve">「なぜダメ？」、チームへの説明、学習</t>
  </si>
  <si>
    <t xml:space="preserve">Read, Grep, Glob, Bash</t>
  </si>
  <si>
    <t xml:space="preserve">不可（読み取り専用）</t>
  </si>
  <si>
    <r>
      <rPr>
        <sz val="10"/>
        <rFont val="Noto Sans CJK SC"/>
        <family val="2"/>
      </rPr>
      <t xml:space="preserve">原則 </t>
    </r>
    <r>
      <rPr>
        <sz val="10"/>
        <rFont val="Meiryo UI"/>
        <family val="0"/>
        <charset val="1"/>
      </rPr>
      <t xml:space="preserve">P01–P35 </t>
    </r>
    <r>
      <rPr>
        <sz val="10"/>
        <rFont val="Noto Sans CJK SC"/>
        <family val="2"/>
      </rPr>
      <t xml:space="preserve">に基づく独立レビュー（指摘表）</t>
    </r>
  </si>
  <si>
    <r>
      <rPr>
        <sz val="10"/>
        <rFont val="Noto Sans CJK SC"/>
        <family val="2"/>
      </rPr>
      <t xml:space="preserve">各工程の終わり、</t>
    </r>
    <r>
      <rPr>
        <sz val="10"/>
        <rFont val="Meiryo UI"/>
        <family val="0"/>
        <charset val="1"/>
      </rPr>
      <t xml:space="preserve">PR </t>
    </r>
    <r>
      <rPr>
        <sz val="10"/>
        <rFont val="Noto Sans CJK SC"/>
        <family val="2"/>
      </rPr>
      <t xml:space="preserve">前、リリース前</t>
    </r>
  </si>
  <si>
    <r>
      <rPr>
        <sz val="10"/>
        <rFont val="Noto Sans CJK SC"/>
        <family val="2"/>
      </rPr>
      <t xml:space="preserve">要件の言葉から用語集（</t>
    </r>
    <r>
      <rPr>
        <sz val="10"/>
        <rFont val="Meiryo UI"/>
        <family val="0"/>
        <charset val="1"/>
      </rPr>
      <t xml:space="preserve">domain.yaml</t>
    </r>
    <r>
      <rPr>
        <sz val="10"/>
        <rFont val="Noto Sans CJK SC"/>
        <family val="2"/>
      </rPr>
      <t xml:space="preserve">）を作成・更新</t>
    </r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</si>
  <si>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02</t>
    </r>
    <r>
      <rPr>
        <sz val="10"/>
        <rFont val="Noto Sans CJK SC"/>
        <family val="2"/>
      </rPr>
      <t xml:space="preserve">、実装中に新しい概念・用語のずれが出たとき</t>
    </r>
  </si>
  <si>
    <t xml:space="preserve">Read, Grep, Glob, Edit, Write, Bash</t>
  </si>
  <si>
    <r>
      <rPr>
        <sz val="10"/>
        <rFont val="Noto Sans CJK SC"/>
        <family val="2"/>
      </rPr>
      <t xml:space="preserve">可（</t>
    </r>
    <r>
      <rPr>
        <sz val="10"/>
        <rFont val="Meiryo UI"/>
        <family val="0"/>
        <charset val="1"/>
      </rPr>
      <t xml:space="preserve">domain.yaml</t>
    </r>
    <r>
      <rPr>
        <sz val="10"/>
        <rFont val="Noto Sans CJK SC"/>
        <family val="2"/>
      </rPr>
      <t xml:space="preserve">）</t>
    </r>
  </si>
  <si>
    <t xml:space="preserve">受入基準・非機能要件・業務ルールからテストを設計・実装</t>
  </si>
  <si>
    <r>
      <rPr>
        <sz val="10"/>
        <rFont val="Noto Sans CJK SC"/>
        <family val="2"/>
      </rPr>
      <t xml:space="preserve">工程</t>
    </r>
    <r>
      <rPr>
        <sz val="10"/>
        <rFont val="Meiryo UI"/>
        <family val="0"/>
        <charset val="1"/>
      </rPr>
      <t xml:space="preserve">05</t>
    </r>
    <r>
      <rPr>
        <sz val="10"/>
        <rFont val="Noto Sans CJK SC"/>
        <family val="2"/>
      </rPr>
      <t xml:space="preserve">、ドメイン実装と同時の単体テスト</t>
    </r>
  </si>
  <si>
    <t xml:space="preserve">可（テストコード）</t>
  </si>
  <si>
    <r>
      <rPr>
        <i val="true"/>
        <sz val="9"/>
        <color rgb="FF595959"/>
        <rFont val="Meiryo UI"/>
        <family val="0"/>
        <charset val="1"/>
      </rPr>
      <t xml:space="preserve">enforcement </t>
    </r>
    <r>
      <rPr>
        <i val="true"/>
        <sz val="9"/>
        <color rgb="FF595959"/>
        <rFont val="Noto Sans CJK SC"/>
        <family val="2"/>
      </rPr>
      <t xml:space="preserve">の値</t>
    </r>
    <r>
      <rPr>
        <i val="true"/>
        <sz val="9"/>
        <color rgb="FF595959"/>
        <rFont val="Meiryo UI"/>
        <family val="0"/>
        <charset val="1"/>
      </rPr>
      <t xml:space="preserve">: deny=</t>
    </r>
    <r>
      <rPr>
        <i val="true"/>
        <sz val="9"/>
        <color rgb="FF595959"/>
        <rFont val="Noto Sans CJK SC"/>
        <family val="2"/>
      </rPr>
      <t xml:space="preserve">拒否 </t>
    </r>
    <r>
      <rPr>
        <i val="true"/>
        <sz val="9"/>
        <color rgb="FF595959"/>
        <rFont val="Meiryo UI"/>
        <family val="0"/>
        <charset val="1"/>
      </rPr>
      <t xml:space="preserve">/ ask=</t>
    </r>
    <r>
      <rPr>
        <i val="true"/>
        <sz val="9"/>
        <color rgb="FF595959"/>
        <rFont val="Noto Sans CJK SC"/>
        <family val="2"/>
      </rPr>
      <t xml:space="preserve">ユーザー確認 </t>
    </r>
    <r>
      <rPr>
        <i val="true"/>
        <sz val="9"/>
        <color rgb="FF595959"/>
        <rFont val="Meiryo UI"/>
        <family val="0"/>
        <charset val="1"/>
      </rPr>
      <t xml:space="preserve">/ warn=</t>
    </r>
    <r>
      <rPr>
        <i val="true"/>
        <sz val="9"/>
        <color rgb="FF595959"/>
        <rFont val="Noto Sans CJK SC"/>
        <family val="2"/>
      </rPr>
      <t xml:space="preserve">通して警告 </t>
    </r>
    <r>
      <rPr>
        <i val="true"/>
        <sz val="9"/>
        <color rgb="FF595959"/>
        <rFont val="Meiryo UI"/>
        <family val="0"/>
        <charset val="1"/>
      </rPr>
      <t xml:space="preserve">/ off=</t>
    </r>
    <r>
      <rPr>
        <i val="true"/>
        <sz val="9"/>
        <color rgb="FF595959"/>
        <rFont val="Noto Sans CJK SC"/>
        <family val="2"/>
      </rPr>
      <t xml:space="preserve">無効（</t>
    </r>
    <r>
      <rPr>
        <i val="true"/>
        <sz val="9"/>
        <color rgb="FF595959"/>
        <rFont val="Meiryo UI"/>
        <family val="0"/>
        <charset val="1"/>
      </rPr>
      <t xml:space="preserve">lint_errors </t>
    </r>
    <r>
      <rPr>
        <i val="true"/>
        <sz val="9"/>
        <color rgb="FF595959"/>
        <rFont val="Noto Sans CJK SC"/>
        <family val="2"/>
      </rPr>
      <t xml:space="preserve">は </t>
    </r>
    <r>
      <rPr>
        <i val="true"/>
        <sz val="9"/>
        <color rgb="FF595959"/>
        <rFont val="Meiryo UI"/>
        <family val="0"/>
        <charset val="1"/>
      </rPr>
      <t xml:space="preserve">block / warn</t>
    </r>
    <r>
      <rPr>
        <i val="true"/>
        <sz val="9"/>
        <color rgb="FF595959"/>
        <rFont val="Noto Sans CJK SC"/>
        <family val="2"/>
      </rPr>
      <t xml:space="preserve">）</t>
    </r>
  </si>
  <si>
    <t xml:space="preserve">タイミング</t>
  </si>
  <si>
    <t xml:space="preserve">何をするか</t>
  </si>
  <si>
    <t xml:space="preserve">止め方</t>
  </si>
  <si>
    <r>
      <rPr>
        <b val="true"/>
        <sz val="10"/>
        <color rgb="FFFFFFFF"/>
        <rFont val="Noto Sans CJK SC"/>
        <family val="2"/>
      </rPr>
      <t xml:space="preserve">強さの設定（</t>
    </r>
    <r>
      <rPr>
        <b val="true"/>
        <sz val="10"/>
        <color rgb="FFFFFFFF"/>
        <rFont val="Meiryo UI"/>
        <family val="0"/>
        <charset val="1"/>
      </rPr>
      <t xml:space="preserve">harness.yaml </t>
    </r>
    <r>
      <rPr>
        <b val="true"/>
        <sz val="10"/>
        <color rgb="FFFFFFFF"/>
        <rFont val="Noto Sans CJK SC"/>
        <family val="2"/>
      </rPr>
      <t xml:space="preserve">の </t>
    </r>
    <r>
      <rPr>
        <b val="true"/>
        <sz val="10"/>
        <color rgb="FFFFFFFF"/>
        <rFont val="Meiryo UI"/>
        <family val="0"/>
        <charset val="1"/>
      </rPr>
      <t xml:space="preserve">enforcement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</si>
  <si>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SessionStart</t>
  </si>
  <si>
    <t xml:space="preserve">セッション開始時</t>
  </si>
  <si>
    <t xml:space="preserve">現在の工程・要件承認数・用語数・受入基準の紐付け・エラー数を表示</t>
  </si>
  <si>
    <t xml:space="preserve">—（表示のみ）</t>
  </si>
  <si>
    <r>
      <rPr>
        <sz val="10"/>
        <rFont val="Meiryo UI"/>
        <family val="0"/>
        <charset val="1"/>
      </rPr>
      <t xml:space="preserve">PreToolUse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Edit/Write</t>
    </r>
    <r>
      <rPr>
        <sz val="10"/>
        <rFont val="Noto Sans CJK SC"/>
        <family val="2"/>
      </rPr>
      <t xml:space="preserve">）</t>
    </r>
  </si>
  <si>
    <t xml:space="preserve">ファイル書き込み前</t>
  </si>
  <si>
    <r>
      <rPr>
        <sz val="10"/>
        <rFont val="Noto Sans CJK SC"/>
        <family val="2"/>
      </rPr>
      <t xml:space="preserve">工程ゲート（承認済み要件・用語集の有無）、モデル先行（用語集に無いトップレベル型を </t>
    </r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に作らせない）、要件の承認はユーザー（</t>
    </r>
    <r>
      <rPr>
        <sz val="10"/>
        <rFont val="Meiryo UI"/>
        <family val="0"/>
        <charset val="1"/>
      </rPr>
      <t xml:space="preserve">approved </t>
    </r>
    <r>
      <rPr>
        <sz val="10"/>
        <rFont val="Noto Sans CJK SC"/>
        <family val="2"/>
      </rPr>
      <t xml:space="preserve">への変更は確認）、ハーネス・ベースラインの保護</t>
    </r>
  </si>
  <si>
    <r>
      <rPr>
        <sz val="10"/>
        <rFont val="Noto Sans CJK SC"/>
        <family val="2"/>
      </rPr>
      <t xml:space="preserve">拒否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確認</t>
    </r>
  </si>
  <si>
    <t xml:space="preserve">phase_gate, model_first, approval, protect</t>
  </si>
  <si>
    <r>
      <rPr>
        <sz val="10"/>
        <rFont val="Meiryo UI"/>
        <family val="0"/>
        <charset val="1"/>
      </rPr>
      <t xml:space="preserve">PreToolUse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Bash</t>
    </r>
    <r>
      <rPr>
        <sz val="10"/>
        <rFont val="Noto Sans CJK SC"/>
        <family val="2"/>
      </rPr>
      <t xml:space="preserve">）</t>
    </r>
  </si>
  <si>
    <t xml:space="preserve">コマンド実行前</t>
  </si>
  <si>
    <r>
      <rPr>
        <sz val="10"/>
        <rFont val="Noto Sans CJK SC"/>
        <family val="2"/>
      </rPr>
      <t xml:space="preserve">リリースゲート（</t>
    </r>
    <r>
      <rPr>
        <sz val="10"/>
        <rFont val="Meiryo UI"/>
        <family val="0"/>
        <charset val="1"/>
      </rPr>
      <t xml:space="preserve">git tag</t>
    </r>
    <r>
      <rPr>
        <sz val="10"/>
        <rFont val="Noto Sans CJK SC"/>
        <family val="2"/>
      </rPr>
      <t xml:space="preserve">・タグの </t>
    </r>
    <r>
      <rPr>
        <sz val="10"/>
        <rFont val="Meiryo UI"/>
        <family val="0"/>
        <charset val="1"/>
      </rPr>
      <t xml:space="preserve">push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gh release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npm publish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mvn deploy </t>
    </r>
    <r>
      <rPr>
        <sz val="10"/>
        <rFont val="Noto Sans CJK SC"/>
        <family val="2"/>
      </rPr>
      <t xml:space="preserve">等）：</t>
    </r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成功 </t>
    </r>
    <r>
      <rPr>
        <sz val="10"/>
        <rFont val="Meiryo UI"/>
        <family val="0"/>
        <charset val="1"/>
      </rPr>
      <t xml:space="preserve">@HEAD</t>
    </r>
    <r>
      <rPr>
        <sz val="10"/>
        <rFont val="Noto Sans CJK SC"/>
        <family val="2"/>
      </rPr>
      <t xml:space="preserve">、未追跡含めクリーン、リリースノート／</t>
    </r>
    <r>
      <rPr>
        <sz val="10"/>
        <rFont val="Meiryo UI"/>
        <family val="0"/>
        <charset val="1"/>
      </rPr>
      <t xml:space="preserve">Bash </t>
    </r>
    <r>
      <rPr>
        <sz val="10"/>
        <rFont val="Noto Sans CJK SC"/>
        <family val="2"/>
      </rPr>
      <t xml:space="preserve">でのソース・要件の書き換え防止（</t>
    </r>
    <r>
      <rPr>
        <sz val="10"/>
        <rFont val="Meiryo UI"/>
        <family val="0"/>
        <charset val="1"/>
      </rPr>
      <t xml:space="preserve">Edit/Write </t>
    </r>
    <r>
      <rPr>
        <sz val="10"/>
        <rFont val="Noto Sans CJK SC"/>
        <family val="2"/>
      </rPr>
      <t xml:space="preserve">を使わせる）／保護対象の書き換え・</t>
    </r>
    <r>
      <rPr>
        <sz val="10"/>
        <rFont val="Meiryo UI"/>
        <family val="0"/>
        <charset val="1"/>
      </rPr>
      <t xml:space="preserve">harness baseline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init --force </t>
    </r>
    <r>
      <rPr>
        <sz val="10"/>
        <rFont val="Noto Sans CJK SC"/>
        <family val="2"/>
      </rPr>
      <t xml:space="preserve">はユーザー確認</t>
    </r>
  </si>
  <si>
    <t xml:space="preserve">release, bash_writes, protect</t>
  </si>
  <si>
    <r>
      <rPr>
        <sz val="10"/>
        <rFont val="Meiryo UI"/>
        <family val="0"/>
        <charset val="1"/>
      </rPr>
      <t xml:space="preserve">PostToolUse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Edit/Write</t>
    </r>
    <r>
      <rPr>
        <sz val="10"/>
        <rFont val="Noto Sans CJK SC"/>
        <family val="2"/>
      </rPr>
      <t xml:space="preserve">）</t>
    </r>
  </si>
  <si>
    <t xml:space="preserve">ファイル書き込み直後</t>
  </si>
  <si>
    <r>
      <rPr>
        <sz val="10"/>
        <rFont val="Noto Sans CJK SC"/>
        <family val="2"/>
      </rPr>
      <t xml:space="preserve">言語パックのルール・組み込みチェック・依存方向・</t>
    </r>
    <r>
      <rPr>
        <sz val="10"/>
        <rFont val="Meiryo UI"/>
        <family val="0"/>
        <charset val="1"/>
      </rPr>
      <t xml:space="preserve">SQL </t>
    </r>
    <r>
      <rPr>
        <sz val="10"/>
        <rFont val="Noto Sans CJK SC"/>
        <family val="2"/>
      </rPr>
      <t xml:space="preserve">検査。</t>
    </r>
    <r>
      <rPr>
        <sz val="10"/>
        <rFont val="Meiryo UI"/>
        <family val="0"/>
        <charset val="1"/>
      </rPr>
      <t xml:space="preserve">warn </t>
    </r>
    <r>
      <rPr>
        <sz val="10"/>
        <rFont val="Noto Sans CJK SC"/>
        <family val="2"/>
      </rPr>
      <t xml:space="preserve">モードのゲート警告もここで伝える</t>
    </r>
  </si>
  <si>
    <r>
      <rPr>
        <sz val="10"/>
        <rFont val="Noto Sans CJK SC"/>
        <family val="2"/>
      </rPr>
      <t xml:space="preserve">ブロック（修正させる）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警告</t>
    </r>
  </si>
  <si>
    <t xml:space="preserve">lint_errors</t>
  </si>
  <si>
    <t xml:space="preserve">Stop</t>
  </si>
  <si>
    <r>
      <rPr>
        <sz val="10"/>
        <rFont val="Meiryo UI"/>
        <family val="0"/>
        <charset val="1"/>
      </rPr>
      <t xml:space="preserve">Claude </t>
    </r>
    <r>
      <rPr>
        <sz val="10"/>
        <rFont val="Noto Sans CJK SC"/>
        <family val="2"/>
      </rPr>
      <t xml:space="preserve">が作業を終える時</t>
    </r>
  </si>
  <si>
    <r>
      <rPr>
        <sz val="10"/>
        <rFont val="Meiryo UI"/>
        <family val="0"/>
        <charset val="1"/>
      </rPr>
      <t xml:space="preserve">trace </t>
    </r>
    <r>
      <rPr>
        <sz val="10"/>
        <rFont val="Noto Sans CJK SC"/>
        <family val="2"/>
      </rPr>
      <t xml:space="preserve">の整合性エラーがあれば一度だけ終了を止める（無限ループ防止付き）</t>
    </r>
  </si>
  <si>
    <t xml:space="preserve">ブロック</t>
  </si>
  <si>
    <t xml:space="preserve">stop_check</t>
  </si>
  <si>
    <t xml:space="preserve">ID</t>
  </si>
  <si>
    <t xml:space="preserve">分類</t>
  </si>
  <si>
    <t xml:space="preserve">章</t>
  </si>
  <si>
    <t xml:space="preserve">原則</t>
  </si>
  <si>
    <t xml:space="preserve">強制手段</t>
  </si>
  <si>
    <t xml:space="preserve">自動チェックルール数</t>
  </si>
  <si>
    <t xml:space="preserve">P01</t>
  </si>
  <si>
    <t xml:space="preserve">小さくまとめてわかりやすくする</t>
  </si>
  <si>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章</t>
    </r>
  </si>
  <si>
    <r>
      <rPr>
        <sz val="10"/>
        <rFont val="Noto Sans CJK SC"/>
        <family val="2"/>
      </rPr>
      <t xml:space="preserve">名前は業務の言葉で、省略せずに付ける（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qty </t>
    </r>
    <r>
      <rPr>
        <sz val="10"/>
        <rFont val="Noto Sans CJK SC"/>
        <family val="2"/>
      </rPr>
      <t xml:space="preserve">ではなく </t>
    </r>
    <r>
      <rPr>
        <sz val="10"/>
        <rFont val="Meiryo UI"/>
        <family val="0"/>
        <charset val="1"/>
      </rPr>
      <t xml:space="preserve">quantity</t>
    </r>
    <r>
      <rPr>
        <sz val="10"/>
        <rFont val="Noto Sans CJK SC"/>
        <family val="2"/>
      </rPr>
      <t xml:space="preserve">）。</t>
    </r>
    <r>
      <rPr>
        <sz val="10"/>
        <rFont val="Meiryo UI"/>
        <family val="0"/>
        <charset val="1"/>
      </rPr>
      <t xml:space="preserve">Manager / Util / Info / Data </t>
    </r>
    <r>
      <rPr>
        <sz val="10"/>
        <rFont val="Noto Sans CJK SC"/>
        <family val="2"/>
      </rPr>
      <t xml:space="preserve">のような「何でも入る」名前を避ける</t>
    </r>
  </si>
  <si>
    <r>
      <rPr>
        <sz val="10"/>
        <rFont val="Meiryo UI"/>
        <family val="0"/>
        <charset val="1"/>
      </rPr>
      <t xml:space="preserve">lint / </t>
    </r>
    <r>
      <rPr>
        <sz val="10"/>
        <rFont val="Noto Sans CJK SC"/>
        <family val="2"/>
      </rPr>
      <t xml:space="preserve">レビュー</t>
    </r>
  </si>
  <si>
    <t xml:space="preserve">P02</t>
  </si>
  <si>
    <r>
      <rPr>
        <sz val="10"/>
        <rFont val="Noto Sans CJK SC"/>
        <family val="2"/>
      </rPr>
      <t xml:space="preserve">メソッドは短く、クラスは小さく。長い処理は「段落」に分けて目的ごとのメソッドにする。変数は目的ごとに用意し使い回さない。意味のある数値（送料 </t>
    </r>
    <r>
      <rPr>
        <sz val="10"/>
        <rFont val="Meiryo UI"/>
        <family val="0"/>
        <charset val="1"/>
      </rPr>
      <t xml:space="preserve">500 </t>
    </r>
    <r>
      <rPr>
        <sz val="10"/>
        <rFont val="Noto Sans CJK SC"/>
        <family val="2"/>
      </rPr>
      <t xml:space="preserve">など）は名前の付いた定数・値にする</t>
    </r>
  </si>
  <si>
    <t xml:space="preserve">P03</t>
  </si>
  <si>
    <r>
      <rPr>
        <sz val="10"/>
        <rFont val="Noto Sans CJK SC"/>
        <family val="2"/>
      </rPr>
      <t xml:space="preserve">同じ業務ルールを複数箇所に書かない。変更が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か所で済む置き場所を決める。共通ライブラリ（</t>
    </r>
    <r>
      <rPr>
        <sz val="10"/>
        <rFont val="Meiryo UI"/>
        <family val="0"/>
        <charset val="1"/>
      </rPr>
      <t xml:space="preserve">Util</t>
    </r>
    <r>
      <rPr>
        <sz val="10"/>
        <rFont val="Noto Sans CJK SC"/>
        <family val="2"/>
      </rPr>
      <t xml:space="preserve">）に業務ロジックを集めない</t>
    </r>
  </si>
  <si>
    <t xml:space="preserve">P04</t>
  </si>
  <si>
    <t xml:space="preserve">計算・判断のロジックは、そのデータを持つクラスに置く（データとロジックを一緒にする）。使う側のクラスに業務ロジックを書き始めたら設計を見直す</t>
  </si>
  <si>
    <t xml:space="preserve">P05</t>
  </si>
  <si>
    <t xml:space="preserve">ドメインオブジェクト</t>
  </si>
  <si>
    <r>
      <rPr>
        <sz val="10"/>
        <rFont val="Meiryo UI"/>
        <family val="0"/>
        <charset val="1"/>
      </rPr>
      <t xml:space="preserve">1–3</t>
    </r>
    <r>
      <rPr>
        <sz val="10"/>
        <rFont val="Noto Sans CJK SC"/>
        <family val="2"/>
      </rPr>
      <t xml:space="preserve">章</t>
    </r>
  </si>
  <si>
    <r>
      <rPr>
        <sz val="10"/>
        <rFont val="Meiryo UI"/>
        <family val="0"/>
        <charset val="1"/>
      </rPr>
      <t xml:space="preserve">int / String / BigDecimal </t>
    </r>
    <r>
      <rPr>
        <sz val="10"/>
        <rFont val="Noto Sans CJK SC"/>
        <family val="2"/>
      </rPr>
      <t xml:space="preserve">をそのまま業務の値に使わない。業務上の桁数・範囲を持つ値（数量・金額・電話番号など）は値オブジェクトにして型で区別する</t>
    </r>
  </si>
  <si>
    <t xml:space="preserve">P06</t>
  </si>
  <si>
    <t xml:space="preserve">値オブジェクトは不変。変更は「新しいオブジェクトを返す」で表現する</t>
  </si>
  <si>
    <t xml:space="preserve">P07</t>
  </si>
  <si>
    <t xml:space="preserve">完全コンストラクタ：生成時に必要な値をすべて受け取り不変条件を検証する。不正な状態のオブジェクトを存在させない</t>
  </si>
  <si>
    <r>
      <rPr>
        <sz val="10"/>
        <rFont val="Meiryo UI"/>
        <family val="0"/>
        <charset val="1"/>
      </rPr>
      <t xml:space="preserve">trace / </t>
    </r>
    <r>
      <rPr>
        <sz val="10"/>
        <rFont val="Noto Sans CJK SC"/>
        <family val="2"/>
      </rPr>
      <t xml:space="preserve">レビュー</t>
    </r>
  </si>
  <si>
    <t xml:space="preserve">P08</t>
  </si>
  <si>
    <t xml:space="preserve">コレクションは専用クラスで包む（ファーストクラスコレクション）。コレクションの操作は業務の関心事として名前を付ける</t>
  </si>
  <si>
    <t xml:space="preserve">P09</t>
  </si>
  <si>
    <r>
      <rPr>
        <sz val="10"/>
        <rFont val="Noto Sans CJK SC"/>
        <family val="2"/>
      </rPr>
      <t xml:space="preserve">区分ごとに変わる振る舞いは区分オブジェクト（</t>
    </r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等）に持たせ、区分ごとのクラスを同じ型として扱う。</t>
    </r>
    <r>
      <rPr>
        <sz val="10"/>
        <rFont val="Meiryo UI"/>
        <family val="0"/>
        <charset val="1"/>
      </rPr>
      <t xml:space="preserve">if/switch </t>
    </r>
    <r>
      <rPr>
        <sz val="10"/>
        <rFont val="Noto Sans CJK SC"/>
        <family val="2"/>
      </rPr>
      <t xml:space="preserve">を散在させない</t>
    </r>
  </si>
  <si>
    <r>
      <rPr>
        <sz val="10"/>
        <rFont val="Meiryo UI"/>
        <family val="0"/>
        <charset val="1"/>
      </rPr>
      <t xml:space="preserve">lint / trace / </t>
    </r>
    <r>
      <rPr>
        <sz val="10"/>
        <rFont val="Noto Sans CJK SC"/>
        <family val="2"/>
      </rPr>
      <t xml:space="preserve">レビュー</t>
    </r>
  </si>
  <si>
    <t xml:space="preserve">P10</t>
  </si>
  <si>
    <r>
      <rPr>
        <sz val="10"/>
        <rFont val="Noto Sans CJK SC"/>
        <family val="2"/>
      </rPr>
      <t xml:space="preserve">状態と遷移ルールは </t>
    </r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等で表現し、「遷移できるか」を状態自身に判断させる</t>
    </r>
  </si>
  <si>
    <t xml:space="preserve">P11</t>
  </si>
  <si>
    <t xml:space="preserve">判断・加工の条件は名前の付いたメソッドや業務ルールオブジェクト（仕様）に切り出す</t>
  </si>
  <si>
    <t xml:space="preserve">P12</t>
  </si>
  <si>
    <r>
      <rPr>
        <sz val="10"/>
        <rFont val="Noto Sans CJK SC"/>
        <family val="2"/>
      </rPr>
      <t xml:space="preserve">尋ねるな、命じよ。</t>
    </r>
    <r>
      <rPr>
        <sz val="10"/>
        <rFont val="Meiryo UI"/>
        <family val="0"/>
        <charset val="1"/>
      </rPr>
      <t xml:space="preserve">getter </t>
    </r>
    <r>
      <rPr>
        <sz val="10"/>
        <rFont val="Noto Sans CJK SC"/>
        <family val="2"/>
      </rPr>
      <t xml:space="preserve">で値を取り出して外で判断しない。</t>
    </r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を作らず、変更は業務の言葉のメソッドで</t>
    </r>
  </si>
  <si>
    <t xml:space="preserve">P13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</si>
  <si>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を返さない・受け取らない。「未設定」「該当なし」は型で表す</t>
    </r>
  </si>
  <si>
    <t xml:space="preserve">P14</t>
  </si>
  <si>
    <t xml:space="preserve">契約による設計：前提条件はドメインオブジェクトが保証する。呼び出し側で同じ防御的チェックを重複させない</t>
  </si>
  <si>
    <t xml:space="preserve">P15</t>
  </si>
  <si>
    <t xml:space="preserve">アプリケーション機能の組み立て</t>
  </si>
  <si>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章</t>
    </r>
  </si>
  <si>
    <t xml:space="preserve">アプリケーションサービスは業務ロジックを持たず、ドメインオブジェクトの取得・組み立て・保存の調整に徹する。登録系と参照系に分け、小さく保つ</t>
  </si>
  <si>
    <t xml:space="preserve">P16</t>
  </si>
  <si>
    <r>
      <rPr>
        <sz val="10"/>
        <rFont val="Noto Sans CJK SC"/>
        <family val="2"/>
      </rPr>
      <t xml:space="preserve">画面・</t>
    </r>
    <r>
      <rPr>
        <sz val="10"/>
        <rFont val="Meiryo UI"/>
        <family val="0"/>
        <charset val="1"/>
      </rPr>
      <t xml:space="preserve">DB</t>
    </r>
    <r>
      <rPr>
        <sz val="10"/>
        <rFont val="Noto Sans CJK SC"/>
        <family val="2"/>
      </rPr>
      <t xml:space="preserve">・外部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の都合をドメインに持ち込まない。依存の向きは「外側 → ドメイン」。データベース操作ではなく業務の関心事（リポジトリ）で考える</t>
    </r>
  </si>
  <si>
    <r>
      <rPr>
        <sz val="10"/>
        <rFont val="Noto Sans CJK SC"/>
        <family val="2"/>
      </rPr>
      <t xml:space="preserve">依存方向 </t>
    </r>
    <r>
      <rPr>
        <sz val="10"/>
        <rFont val="Meiryo UI"/>
        <family val="0"/>
        <charset val="1"/>
      </rPr>
      <t xml:space="preserve">/ lint</t>
    </r>
  </si>
  <si>
    <t xml:space="preserve">P17</t>
  </si>
  <si>
    <t xml:space="preserve">データベース</t>
  </si>
  <si>
    <r>
      <rPr>
        <sz val="10"/>
        <rFont val="Meiryo UI"/>
        <family val="0"/>
        <charset val="1"/>
      </rPr>
      <t xml:space="preserve">6</t>
    </r>
    <r>
      <rPr>
        <sz val="10"/>
        <rFont val="Noto Sans CJK SC"/>
        <family val="2"/>
      </rPr>
      <t xml:space="preserve">章</t>
    </r>
  </si>
  <si>
    <r>
      <rPr>
        <sz val="10"/>
        <rFont val="Meiryo UI"/>
        <family val="0"/>
        <charset val="1"/>
      </rPr>
      <t xml:space="preserve">DB </t>
    </r>
    <r>
      <rPr>
        <sz val="10"/>
        <rFont val="Noto Sans CJK SC"/>
        <family val="2"/>
      </rPr>
      <t xml:space="preserve">は事実を正確に記録する場所。</t>
    </r>
    <r>
      <rPr>
        <sz val="10"/>
        <rFont val="Meiryo UI"/>
        <family val="0"/>
        <charset val="1"/>
      </rPr>
      <t xml:space="preserve">NOT NULL</t>
    </r>
    <r>
      <rPr>
        <sz val="10"/>
        <rFont val="Noto Sans CJK SC"/>
        <family val="2"/>
      </rPr>
      <t xml:space="preserve">・一意・外部キー・</t>
    </r>
    <r>
      <rPr>
        <sz val="10"/>
        <rFont val="Meiryo UI"/>
        <family val="0"/>
        <charset val="1"/>
      </rPr>
      <t xml:space="preserve">CHECK </t>
    </r>
    <r>
      <rPr>
        <sz val="10"/>
        <rFont val="Noto Sans CJK SC"/>
        <family val="2"/>
      </rPr>
      <t xml:space="preserve">制約を徹底し、</t>
    </r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許容には理由を書く（多くは別テーブルに分けられる）</t>
    </r>
  </si>
  <si>
    <t xml:space="preserve">P18</t>
  </si>
  <si>
    <r>
      <rPr>
        <sz val="10"/>
        <rFont val="Noto Sans CJK SC"/>
        <family val="2"/>
      </rPr>
      <t xml:space="preserve">上書きより追記。記録の変更を禁止し、</t>
    </r>
    <r>
      <rPr>
        <sz val="10"/>
        <rFont val="Meiryo UI"/>
        <family val="0"/>
        <charset val="1"/>
      </rPr>
      <t xml:space="preserve">UPDATE </t>
    </r>
    <r>
      <rPr>
        <sz val="10"/>
        <rFont val="Noto Sans CJK SC"/>
        <family val="2"/>
      </rPr>
      <t xml:space="preserve">を使わない。状態・残高は「コト」の記録から導出する（同時に・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か所で更新しなくてよい）</t>
    </r>
  </si>
  <si>
    <t xml:space="preserve">P19</t>
  </si>
  <si>
    <t xml:space="preserve">テーブルは関心事ごとに分ける。用途のわかりにくいカラム・巨大テーブル・フラグの乱立を避ける</t>
  </si>
  <si>
    <t xml:space="preserve">P20</t>
  </si>
  <si>
    <t xml:space="preserve">アプリケーション間の連携</t>
  </si>
  <si>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</si>
  <si>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はアプリケーション間の契約。万能な 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One Size Fits All</t>
    </r>
    <r>
      <rPr>
        <sz val="10"/>
        <rFont val="Noto Sans CJK SC"/>
        <family val="2"/>
      </rPr>
      <t xml:space="preserve">）を作らず、利用側が組み立てやすい小さな部品として設計し、ドメインの言葉で命名し、内部構造を露出しない</t>
    </r>
  </si>
  <si>
    <r>
      <rPr>
        <sz val="10"/>
        <rFont val="Noto Sans CJK SC"/>
        <family val="2"/>
      </rPr>
      <t xml:space="preserve">スキル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レビュー</t>
    </r>
  </si>
  <si>
    <t xml:space="preserve">P21</t>
  </si>
  <si>
    <t xml:space="preserve">境界で入力を値オブジェクトに変換して検証する。導出結果を返すか生データを返すかを明示する</t>
  </si>
  <si>
    <t xml:space="preserve">P22</t>
  </si>
  <si>
    <t xml:space="preserve">ドメインモデルの考え方</t>
  </si>
  <si>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章</t>
    </r>
  </si>
  <si>
    <t xml:space="preserve">業務の関心事を起点に、重要な部分から、部分と全体を行き来しながら分析→設計→実装→テストを短いサイクルで反復し、モデルとコードを一致させ続ける</t>
  </si>
  <si>
    <r>
      <rPr>
        <sz val="10"/>
        <rFont val="Meiryo UI"/>
        <family val="0"/>
        <charset val="1"/>
      </rPr>
      <t xml:space="preserve">gate / trace / </t>
    </r>
    <r>
      <rPr>
        <sz val="10"/>
        <rFont val="Noto Sans CJK SC"/>
        <family val="2"/>
      </rPr>
      <t xml:space="preserve">スキル</t>
    </r>
  </si>
  <si>
    <t xml:space="preserve">P23</t>
  </si>
  <si>
    <r>
      <rPr>
        <sz val="10"/>
        <rFont val="Noto Sans CJK SC"/>
        <family val="2"/>
      </rPr>
      <t xml:space="preserve">用語集（</t>
    </r>
    <r>
      <rPr>
        <sz val="10"/>
        <rFont val="Meiryo UI"/>
        <family val="0"/>
        <charset val="1"/>
      </rPr>
      <t xml:space="preserve">domain.yaml</t>
    </r>
    <r>
      <rPr>
        <sz val="10"/>
        <rFont val="Noto Sans CJK SC"/>
        <family val="2"/>
      </rPr>
      <t xml:space="preserve">）の言葉をコード・ドキュメント・会話で統一する。業務の言葉をキャッチし、あいまいな言葉は具体例・数値・境界で具体化する。言葉がずれたらモデルを直す</t>
    </r>
  </si>
  <si>
    <t xml:space="preserve">P24</t>
  </si>
  <si>
    <t xml:space="preserve">開発プロセス</t>
  </si>
  <si>
    <r>
      <rPr>
        <sz val="10"/>
        <rFont val="Meiryo UI"/>
        <family val="0"/>
        <charset val="1"/>
      </rPr>
      <t xml:space="preserve">9–10</t>
    </r>
    <r>
      <rPr>
        <sz val="10"/>
        <rFont val="Noto Sans CJK SC"/>
        <family val="2"/>
      </rPr>
      <t xml:space="preserve">章</t>
    </r>
  </si>
  <si>
    <t xml:space="preserve">業務ルールはドメインオブジェクトの単体テストで厚く検証し、テストを仕様として読めるようにする。受入基準とテストを紐付ける</t>
  </si>
  <si>
    <t xml:space="preserve">trace</t>
  </si>
  <si>
    <t xml:space="preserve">P25</t>
  </si>
  <si>
    <t xml:space="preserve">引数を少なくする。引数が多いのは関心事が混ざっている兆候。関連する引数は値オブジェクトにまとめる</t>
  </si>
  <si>
    <t xml:space="preserve">P26</t>
  </si>
  <si>
    <r>
      <rPr>
        <sz val="10"/>
        <rFont val="Noto Sans CJK SC"/>
        <family val="2"/>
      </rPr>
      <t xml:space="preserve">場合分けは単純に：</t>
    </r>
    <r>
      <rPr>
        <sz val="10"/>
        <rFont val="Meiryo UI"/>
        <family val="0"/>
        <charset val="1"/>
      </rPr>
      <t xml:space="preserve">else </t>
    </r>
    <r>
      <rPr>
        <sz val="10"/>
        <rFont val="Noto Sans CJK SC"/>
        <family val="2"/>
      </rPr>
      <t xml:space="preserve">句を使わず早期リターン（ガード節）にする。</t>
    </r>
    <r>
      <rPr>
        <sz val="10"/>
        <rFont val="Meiryo UI"/>
        <family val="0"/>
        <charset val="1"/>
      </rPr>
      <t xml:space="preserve">&amp;&amp; </t>
    </r>
    <r>
      <rPr>
        <sz val="10"/>
        <rFont val="Noto Sans CJK SC"/>
        <family val="2"/>
      </rPr>
      <t xml:space="preserve">と </t>
    </r>
    <r>
      <rPr>
        <sz val="10"/>
        <rFont val="Meiryo UI"/>
        <family val="0"/>
        <charset val="1"/>
      </rPr>
      <t xml:space="preserve">|| </t>
    </r>
    <r>
      <rPr>
        <sz val="10"/>
        <rFont val="Noto Sans CJK SC"/>
        <family val="2"/>
      </rPr>
      <t xml:space="preserve">が混ざった複文は名前の付いた単文の判断メソッドに分ける。ネストを浅く保つ</t>
    </r>
  </si>
  <si>
    <t xml:space="preserve">P27</t>
  </si>
  <si>
    <r>
      <rPr>
        <sz val="10"/>
        <rFont val="Noto Sans CJK SC"/>
        <family val="2"/>
      </rPr>
      <t xml:space="preserve">メソッドは必ずインスタンス変数を使う。使わないメソッド（</t>
    </r>
    <r>
      <rPr>
        <sz val="10"/>
        <rFont val="Meiryo UI"/>
        <family val="0"/>
        <charset val="1"/>
      </rPr>
      <t xml:space="preserve">static </t>
    </r>
    <r>
      <rPr>
        <sz val="10"/>
        <rFont val="Noto Sans CJK SC"/>
        <family val="2"/>
      </rPr>
      <t xml:space="preserve">な計算）は、そのデータを持つクラスへ移す</t>
    </r>
  </si>
  <si>
    <t xml:space="preserve">P28</t>
  </si>
  <si>
    <r>
      <rPr>
        <sz val="10"/>
        <rFont val="Noto Sans CJK SC"/>
        <family val="2"/>
      </rPr>
      <t xml:space="preserve">パッケージは業務の関心事で分ける（注文・請求・在庫…）。</t>
    </r>
    <r>
      <rPr>
        <sz val="10"/>
        <rFont val="Meiryo UI"/>
        <family val="0"/>
        <charset val="1"/>
      </rPr>
      <t xml:space="preserve">dto / entity / util / enums </t>
    </r>
    <r>
      <rPr>
        <sz val="10"/>
        <rFont val="Noto Sans CJK SC"/>
        <family val="2"/>
      </rPr>
      <t xml:space="preserve">のような技術的な種別で分けない</t>
    </r>
  </si>
  <si>
    <t xml:space="preserve">P29</t>
  </si>
  <si>
    <r>
      <rPr>
        <sz val="10"/>
        <rFont val="Noto Sans CJK SC"/>
        <family val="2"/>
      </rPr>
      <t xml:space="preserve">ドメインオブジェクトは「ヒト・モノ・コト」で見つけ、</t>
    </r>
    <r>
      <rPr>
        <sz val="10"/>
        <rFont val="Meiryo UI"/>
        <family val="0"/>
        <charset val="1"/>
      </rPr>
      <t xml:space="preserve">**</t>
    </r>
    <r>
      <rPr>
        <sz val="10"/>
        <rFont val="Noto Sans CJK SC"/>
        <family val="2"/>
      </rPr>
      <t xml:space="preserve">コト</t>
    </r>
    <r>
      <rPr>
        <sz val="10"/>
        <rFont val="Meiryo UI"/>
        <family val="0"/>
        <charset val="1"/>
      </rPr>
      <t xml:space="preserve">**</t>
    </r>
    <r>
      <rPr>
        <sz val="10"/>
        <rFont val="Noto Sans CJK SC"/>
        <family val="2"/>
      </rPr>
      <t xml:space="preserve">（取引・約束・出来事）を中心に業務ルールを集める。コトごとに「約束すること・約束しないこと」を明示する。ドメインオブジェクトを画面や機能の一部として設計しない</t>
    </r>
  </si>
  <si>
    <r>
      <rPr>
        <sz val="10"/>
        <rFont val="Meiryo UI"/>
        <family val="0"/>
        <charset val="1"/>
      </rPr>
      <t xml:space="preserve">trace / </t>
    </r>
    <r>
      <rPr>
        <sz val="10"/>
        <rFont val="Noto Sans CJK SC"/>
        <family val="2"/>
      </rPr>
      <t xml:space="preserve">スキル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レビュー</t>
    </r>
  </si>
  <si>
    <t xml:space="preserve">P30</t>
  </si>
  <si>
    <r>
      <rPr>
        <sz val="10"/>
        <rFont val="Noto Sans CJK SC"/>
        <family val="2"/>
      </rPr>
      <t xml:space="preserve">画面や外部の多様な要求は小さなサービスに分け、それらを組み立てる</t>
    </r>
    <r>
      <rPr>
        <sz val="10"/>
        <rFont val="Meiryo UI"/>
        <family val="0"/>
        <charset val="1"/>
      </rPr>
      <t xml:space="preserve">**</t>
    </r>
    <r>
      <rPr>
        <sz val="10"/>
        <rFont val="Noto Sans CJK SC"/>
        <family val="2"/>
      </rPr>
      <t xml:space="preserve">シナリオ</t>
    </r>
    <r>
      <rPr>
        <sz val="10"/>
        <rFont val="Meiryo UI"/>
        <family val="0"/>
        <charset val="1"/>
      </rPr>
      <t xml:space="preserve">**</t>
    </r>
    <r>
      <rPr>
        <sz val="10"/>
        <rFont val="Noto Sans CJK SC"/>
        <family val="2"/>
      </rPr>
      <t xml:space="preserve">（ユースケースの手順）で実現する。利用する側と提供する側の合意（入出力・事前条件）を明確にする</t>
    </r>
  </si>
  <si>
    <t xml:space="preserve">P31</t>
  </si>
  <si>
    <t xml:space="preserve">記録のタイミングが異なるデータはテーブルを分け、カラム追加ではなくテーブル追加で拡張する。オブジェクトとテーブルは違うものとして明示的にマッピングする（業務ロジックはオブジェクトで、事実の記録はテーブルで）</t>
  </si>
  <si>
    <r>
      <rPr>
        <sz val="10"/>
        <rFont val="Meiryo UI"/>
        <family val="0"/>
        <charset val="1"/>
      </rPr>
      <t xml:space="preserve">lint / </t>
    </r>
    <r>
      <rPr>
        <sz val="10"/>
        <rFont val="Noto Sans CJK SC"/>
        <family val="2"/>
      </rPr>
      <t xml:space="preserve">スキル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レビュー</t>
    </r>
  </si>
  <si>
    <t xml:space="preserve">P32</t>
  </si>
  <si>
    <t xml:space="preserve">画面</t>
  </si>
  <si>
    <r>
      <rPr>
        <sz val="10"/>
        <rFont val="Meiryo UI"/>
        <family val="0"/>
        <charset val="1"/>
      </rPr>
      <t xml:space="preserve">7</t>
    </r>
    <r>
      <rPr>
        <sz val="10"/>
        <rFont val="Noto Sans CJK SC"/>
        <family val="2"/>
      </rPr>
      <t xml:space="preserve">章</t>
    </r>
  </si>
  <si>
    <t xml:space="preserve">画面はタスク単位に小さく分け、画面の関心事（項目・並び順・グルーピング・状態ごとの見せ方）をドメインオブジェクトと連動させる。表示のための判断はドメインに置き、画面に業務ロジックを書かない。画面とドメインの食い違いは設計改善の手がかりとして扱う</t>
  </si>
  <si>
    <t xml:space="preserve">P33</t>
  </si>
  <si>
    <r>
      <rPr>
        <sz val="10"/>
        <rFont val="Noto Sans CJK SC"/>
        <family val="2"/>
      </rPr>
      <t xml:space="preserve">連携方式（ファイル転送・</t>
    </r>
    <r>
      <rPr>
        <sz val="10"/>
        <rFont val="Meiryo UI"/>
        <family val="0"/>
        <charset val="1"/>
      </rPr>
      <t xml:space="preserve">DB </t>
    </r>
    <r>
      <rPr>
        <sz val="10"/>
        <rFont val="Noto Sans CJK SC"/>
        <family val="2"/>
      </rPr>
      <t xml:space="preserve">共有・</t>
    </r>
    <r>
      <rPr>
        <sz val="10"/>
        <rFont val="Meiryo UI"/>
        <family val="0"/>
        <charset val="1"/>
      </rPr>
      <t xml:space="preserve">Web API</t>
    </r>
    <r>
      <rPr>
        <sz val="10"/>
        <rFont val="Noto Sans CJK SC"/>
        <family val="2"/>
      </rPr>
      <t xml:space="preserve">・メッセージング）を目的で選ぶ。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は単純なものから始め、仕様（</t>
    </r>
    <r>
      <rPr>
        <sz val="10"/>
        <rFont val="Meiryo UI"/>
        <family val="0"/>
        <charset val="1"/>
      </rPr>
      <t xml:space="preserve">OpenAPI </t>
    </r>
    <r>
      <rPr>
        <sz val="10"/>
        <rFont val="Noto Sans CJK SC"/>
        <family val="2"/>
      </rPr>
      <t xml:space="preserve">等）で利用側と合意し、バージョンを管理して動かしながら発展させる</t>
    </r>
  </si>
  <si>
    <t xml:space="preserve">P34</t>
  </si>
  <si>
    <r>
      <rPr>
        <sz val="10"/>
        <rFont val="Noto Sans CJK SC"/>
        <family val="2"/>
      </rPr>
      <t xml:space="preserve">ソースコードを第一級のドキュメントにする。別に更新し続ける文書は用語集・全体俯瞰・判断記録（</t>
    </r>
    <r>
      <rPr>
        <sz val="10"/>
        <rFont val="Meiryo UI"/>
        <family val="0"/>
        <charset val="1"/>
      </rPr>
      <t xml:space="preserve">ADR</t>
    </r>
    <r>
      <rPr>
        <sz val="10"/>
        <rFont val="Noto Sans CJK SC"/>
        <family val="2"/>
      </rPr>
      <t xml:space="preserve">）に絞る。非機能要件はテストコードで表現する</t>
    </r>
  </si>
  <si>
    <r>
      <rPr>
        <sz val="10"/>
        <rFont val="Meiryo UI"/>
        <family val="0"/>
        <charset val="1"/>
      </rPr>
      <t xml:space="preserve">trace / </t>
    </r>
    <r>
      <rPr>
        <sz val="10"/>
        <rFont val="Noto Sans CJK SC"/>
        <family val="2"/>
      </rPr>
      <t xml:space="preserve">スキル</t>
    </r>
  </si>
  <si>
    <t xml:space="preserve">P35</t>
  </si>
  <si>
    <t xml:space="preserve">設計は一度で完成させず、少しずつ改良し続ける。リファクタリングは部分的に小さく、テストで守りながら行う。変更のたびに変更しやすくする</t>
  </si>
  <si>
    <r>
      <rPr>
        <i val="true"/>
        <sz val="9"/>
        <color rgb="FF595959"/>
        <rFont val="Noto Sans CJK SC"/>
        <family val="2"/>
      </rPr>
      <t xml:space="preserve">重大度</t>
    </r>
    <r>
      <rPr>
        <i val="true"/>
        <sz val="9"/>
        <color rgb="FF595959"/>
        <rFont val="Meiryo UI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エラー</t>
    </r>
    <r>
      <rPr>
        <i val="true"/>
        <sz val="9"/>
        <color rgb="FF595959"/>
        <rFont val="Meiryo UI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書き込み直後にブロックして修正させる </t>
    </r>
    <r>
      <rPr>
        <i val="true"/>
        <sz val="9"/>
        <color rgb="FF595959"/>
        <rFont val="Meiryo UI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警告</t>
    </r>
    <r>
      <rPr>
        <i val="true"/>
        <sz val="9"/>
        <color rgb="FF595959"/>
        <rFont val="Meiryo UI"/>
        <family val="0"/>
        <charset val="1"/>
      </rPr>
      <t xml:space="preserve">=Claude </t>
    </r>
    <r>
      <rPr>
        <i val="true"/>
        <sz val="9"/>
        <color rgb="FF595959"/>
        <rFont val="Noto Sans CJK SC"/>
        <family val="2"/>
      </rPr>
      <t xml:space="preserve">に伝える。</t>
    </r>
    <r>
      <rPr>
        <i val="true"/>
        <sz val="9"/>
        <color rgb="FF595959"/>
        <rFont val="Meiryo UI"/>
        <family val="0"/>
        <charset val="1"/>
      </rPr>
      <t xml:space="preserve">calisthenics </t>
    </r>
    <r>
      <rPr>
        <i val="true"/>
        <sz val="9"/>
        <color rgb="FF595959"/>
        <rFont val="Noto Sans CJK SC"/>
        <family val="2"/>
      </rPr>
      <t xml:space="preserve">は </t>
    </r>
    <r>
      <rPr>
        <i val="true"/>
        <sz val="9"/>
        <color rgb="FF595959"/>
        <rFont val="Meiryo UI"/>
        <family val="0"/>
        <charset val="1"/>
      </rPr>
      <t xml:space="preserve">profiles </t>
    </r>
    <r>
      <rPr>
        <i val="true"/>
        <sz val="9"/>
        <color rgb="FF595959"/>
        <rFont val="Noto Sans CJK SC"/>
        <family val="2"/>
      </rPr>
      <t xml:space="preserve">有効時のみ。例外は </t>
    </r>
    <r>
      <rPr>
        <i val="true"/>
        <sz val="9"/>
        <color rgb="FF595959"/>
        <rFont val="Meiryo UI"/>
        <family val="0"/>
        <charset val="1"/>
      </rPr>
      <t xml:space="preserve">ADR </t>
    </r>
    <r>
      <rPr>
        <i val="true"/>
        <sz val="9"/>
        <color rgb="FF595959"/>
        <rFont val="Noto Sans CJK SC"/>
        <family val="2"/>
      </rPr>
      <t xml:space="preserve">を書いて </t>
    </r>
    <r>
      <rPr>
        <i val="true"/>
        <sz val="9"/>
        <color rgb="FF595959"/>
        <rFont val="Meiryo UI"/>
        <family val="0"/>
        <charset val="1"/>
      </rPr>
      <t xml:space="preserve">harness-allow: Pxx ADR-xxxx</t>
    </r>
  </si>
  <si>
    <r>
      <rPr>
        <b val="true"/>
        <sz val="10"/>
        <color rgb="FFFFFFFF"/>
        <rFont val="Noto Sans CJK SC"/>
        <family val="2"/>
      </rPr>
      <t xml:space="preserve">ルール</t>
    </r>
    <r>
      <rPr>
        <b val="true"/>
        <sz val="10"/>
        <color rgb="FFFFFFFF"/>
        <rFont val="Meiryo UI"/>
        <family val="0"/>
        <charset val="1"/>
      </rPr>
      <t xml:space="preserve">ID</t>
    </r>
  </si>
  <si>
    <t xml:space="preserve">パック</t>
  </si>
  <si>
    <t xml:space="preserve">対象言語</t>
  </si>
  <si>
    <t xml:space="preserve">重大度</t>
  </si>
  <si>
    <t xml:space="preserve">対象レイヤ</t>
  </si>
  <si>
    <t xml:space="preserve">検出内容・メッセージ</t>
  </si>
  <si>
    <t xml:space="preserve">プロファイル</t>
  </si>
  <si>
    <t xml:space="preserve">builtin.vague-name</t>
  </si>
  <si>
    <t xml:space="preserve">組み込み</t>
  </si>
  <si>
    <t xml:space="preserve">全言語</t>
  </si>
  <si>
    <t xml:space="preserve">警告</t>
  </si>
  <si>
    <t xml:space="preserve">全レイヤ</t>
  </si>
  <si>
    <r>
      <rPr>
        <sz val="10"/>
        <rFont val="Noto Sans CJK SC"/>
        <family val="2"/>
      </rPr>
      <t xml:space="preserve">型名が </t>
    </r>
    <r>
      <rPr>
        <sz val="10"/>
        <rFont val="Meiryo UI"/>
        <family val="0"/>
        <charset val="1"/>
      </rPr>
      <t xml:space="preserve">Manager/Util/Info/Data </t>
    </r>
    <r>
      <rPr>
        <sz val="10"/>
        <rFont val="Noto Sans CJK SC"/>
        <family val="2"/>
      </rPr>
      <t xml:space="preserve">等で曖昧</t>
    </r>
  </si>
  <si>
    <t xml:space="preserve">標準</t>
  </si>
  <si>
    <t xml:space="preserve">builtin.file-length</t>
  </si>
  <si>
    <r>
      <rPr>
        <sz val="10"/>
        <rFont val="Noto Sans CJK SC"/>
        <family val="2"/>
      </rPr>
      <t xml:space="preserve">ファイルが長い（既定</t>
    </r>
    <r>
      <rPr>
        <sz val="10"/>
        <rFont val="Meiryo UI"/>
        <family val="0"/>
        <charset val="1"/>
      </rPr>
      <t xml:space="preserve">200</t>
    </r>
    <r>
      <rPr>
        <sz val="10"/>
        <rFont val="Noto Sans CJK SC"/>
        <family val="2"/>
      </rPr>
      <t xml:space="preserve">行、アプリ層</t>
    </r>
    <r>
      <rPr>
        <sz val="10"/>
        <rFont val="Meiryo UI"/>
        <family val="0"/>
        <charset val="1"/>
      </rPr>
      <t xml:space="preserve">120</t>
    </r>
    <r>
      <rPr>
        <sz val="10"/>
        <rFont val="Noto Sans CJK SC"/>
        <family val="2"/>
      </rPr>
      <t xml:space="preserve">行）</t>
    </r>
  </si>
  <si>
    <t xml:space="preserve">builtin.function-length</t>
  </si>
  <si>
    <r>
      <rPr>
        <sz val="10"/>
        <rFont val="Noto Sans CJK SC"/>
        <family val="2"/>
      </rPr>
      <t xml:space="preserve">関数が長い（既定</t>
    </r>
    <r>
      <rPr>
        <sz val="10"/>
        <rFont val="Meiryo UI"/>
        <family val="0"/>
        <charset val="1"/>
      </rPr>
      <t xml:space="preserve">20</t>
    </r>
    <r>
      <rPr>
        <sz val="10"/>
        <rFont val="Noto Sans CJK SC"/>
        <family val="2"/>
      </rPr>
      <t xml:space="preserve">行）</t>
    </r>
  </si>
  <si>
    <t xml:space="preserve">builtin.primitive-params</t>
  </si>
  <si>
    <t xml:space="preserve">ドメイン</t>
  </si>
  <si>
    <t xml:space="preserve">基本データ型の引数が多い</t>
  </si>
  <si>
    <t xml:space="preserve">sql.flag</t>
  </si>
  <si>
    <t xml:space="preserve">SQL</t>
  </si>
  <si>
    <t xml:space="preserve">マイグレーション</t>
  </si>
  <si>
    <t xml:space="preserve">フラグカラム（区分・状態コードで表現）</t>
  </si>
  <si>
    <t xml:space="preserve">arch.domain-purity</t>
  </si>
  <si>
    <t xml:space="preserve">エラー</t>
  </si>
  <si>
    <r>
      <rPr>
        <sz val="10"/>
        <rFont val="Noto Sans CJK SC"/>
        <family val="2"/>
      </rPr>
      <t xml:space="preserve">ドメインからフレームワーク</t>
    </r>
    <r>
      <rPr>
        <sz val="10"/>
        <rFont val="Meiryo UI"/>
        <family val="0"/>
        <charset val="1"/>
      </rPr>
      <t xml:space="preserve">/ORM/</t>
    </r>
    <r>
      <rPr>
        <sz val="10"/>
        <rFont val="Noto Sans CJK SC"/>
        <family val="2"/>
      </rPr>
      <t xml:space="preserve">通信ライブラリへの依存</t>
    </r>
  </si>
  <si>
    <t xml:space="preserve">arch.layer</t>
  </si>
  <si>
    <r>
      <rPr>
        <sz val="10"/>
        <rFont val="Noto Sans CJK SC"/>
        <family val="2"/>
      </rPr>
      <t xml:space="preserve">許可されていないレイヤ間の依存（</t>
    </r>
    <r>
      <rPr>
        <sz val="10"/>
        <rFont val="Meiryo UI"/>
        <family val="0"/>
        <charset val="1"/>
      </rPr>
      <t xml:space="preserve">import </t>
    </r>
    <r>
      <rPr>
        <sz val="10"/>
        <rFont val="Noto Sans CJK SC"/>
        <family val="2"/>
      </rPr>
      <t xml:space="preserve">解析・全言語）</t>
    </r>
  </si>
  <si>
    <t xml:space="preserve">sql.missing-fk</t>
  </si>
  <si>
    <r>
      <rPr>
        <sz val="10"/>
        <rFont val="Meiryo UI"/>
        <family val="0"/>
        <charset val="1"/>
      </rPr>
      <t xml:space="preserve">xxx_id </t>
    </r>
    <r>
      <rPr>
        <sz val="10"/>
        <rFont val="Noto Sans CJK SC"/>
        <family val="2"/>
      </rPr>
      <t xml:space="preserve">に外部キー制約が無い</t>
    </r>
  </si>
  <si>
    <t xml:space="preserve">sql.nullable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</si>
  <si>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許容カラム（</t>
    </r>
    <r>
      <rPr>
        <sz val="10"/>
        <rFont val="Meiryo UI"/>
        <family val="0"/>
        <charset val="1"/>
      </rPr>
      <t xml:space="preserve">-- nullable: </t>
    </r>
    <r>
      <rPr>
        <sz val="10"/>
        <rFont val="Noto Sans CJK SC"/>
        <family val="2"/>
      </rPr>
      <t xml:space="preserve">理由 で許可）</t>
    </r>
  </si>
  <si>
    <t xml:space="preserve">sql.drop</t>
  </si>
  <si>
    <r>
      <rPr>
        <sz val="10"/>
        <rFont val="Meiryo UI"/>
        <family val="0"/>
        <charset val="1"/>
      </rPr>
      <t xml:space="preserve">DROP TABLE/COLUMN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とロールバック手順が必要）</t>
    </r>
  </si>
  <si>
    <t xml:space="preserve">sql.overwrite</t>
  </si>
  <si>
    <r>
      <rPr>
        <sz val="10"/>
        <rFont val="Noto Sans CJK SC"/>
        <family val="2"/>
      </rPr>
      <t xml:space="preserve">マイグレーションでの </t>
    </r>
    <r>
      <rPr>
        <sz val="10"/>
        <rFont val="Meiryo UI"/>
        <family val="0"/>
        <charset val="1"/>
      </rPr>
      <t xml:space="preserve">UPDATE/DELETE</t>
    </r>
  </si>
  <si>
    <t xml:space="preserve">sql.vague-column</t>
  </si>
  <si>
    <r>
      <rPr>
        <sz val="10"/>
        <rFont val="Noto Sans CJK SC"/>
        <family val="2"/>
      </rPr>
      <t xml:space="preserve">用途のわかりにくいカラム（備考・予備・</t>
    </r>
    <r>
      <rPr>
        <sz val="10"/>
        <rFont val="Meiryo UI"/>
        <family val="0"/>
        <charset val="1"/>
      </rPr>
      <t xml:space="preserve">biko </t>
    </r>
    <r>
      <rPr>
        <sz val="10"/>
        <rFont val="Noto Sans CJK SC"/>
        <family val="2"/>
      </rPr>
      <t xml:space="preserve">等）</t>
    </r>
  </si>
  <si>
    <t xml:space="preserve">builtin.too-many-params</t>
  </si>
  <si>
    <r>
      <rPr>
        <sz val="10"/>
        <rFont val="Noto Sans CJK SC"/>
        <family val="2"/>
      </rPr>
      <t xml:space="preserve">引数が多い（既定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個超）</t>
    </r>
  </si>
  <si>
    <t xml:space="preserve">builtin.nesting</t>
  </si>
  <si>
    <r>
      <rPr>
        <sz val="10"/>
        <rFont val="Noto Sans CJK SC"/>
        <family val="2"/>
      </rPr>
      <t xml:space="preserve">制御構造のネストが深い（既定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段超）</t>
    </r>
  </si>
  <si>
    <t xml:space="preserve">builtin.package-by-type</t>
  </si>
  <si>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配下に </t>
    </r>
    <r>
      <rPr>
        <sz val="10"/>
        <rFont val="Meiryo UI"/>
        <family val="0"/>
        <charset val="1"/>
      </rPr>
      <t xml:space="preserve">dto/util/entity </t>
    </r>
    <r>
      <rPr>
        <sz val="10"/>
        <rFont val="Noto Sans CJK SC"/>
        <family val="2"/>
      </rPr>
      <t xml:space="preserve">等の技術種別パッケージ</t>
    </r>
  </si>
  <si>
    <t xml:space="preserve">sql.add-column</t>
  </si>
  <si>
    <t xml:space="preserve">カラム追加（テーブル追加で拡張できないか）</t>
  </si>
  <si>
    <t xml:space="preserve">common.abbreviation</t>
  </si>
  <si>
    <t xml:space="preserve">common</t>
  </si>
  <si>
    <t xml:space="preserve">java, kotlin, typescript, python, go, csharp, php, ruby</t>
  </si>
  <si>
    <t xml:space="preserve">ドメイン・アプリ</t>
  </si>
  <si>
    <r>
      <rPr>
        <sz val="10"/>
        <rFont val="Noto Sans CJK SC"/>
        <family val="2"/>
      </rPr>
      <t xml:space="preserve">省略した名前。業務の言葉を省略せずに使う（</t>
    </r>
    <r>
      <rPr>
        <sz val="10"/>
        <rFont val="Meiryo UI"/>
        <family val="0"/>
        <charset val="1"/>
      </rPr>
      <t xml:space="preserve">qty → quantity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kbn → </t>
    </r>
    <r>
      <rPr>
        <sz val="10"/>
        <rFont val="Noto Sans CJK SC"/>
        <family val="2"/>
      </rPr>
      <t xml:space="preserve">区分の業務名）</t>
    </r>
  </si>
  <si>
    <t xml:space="preserve">common.single-letter</t>
  </si>
  <si>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文字の変数名。何を表すかを業務の言葉で名付ける</t>
    </r>
  </si>
  <si>
    <t xml:space="preserve">common.magic-number</t>
  </si>
  <si>
    <r>
      <rPr>
        <sz val="10"/>
        <rFont val="Noto Sans CJK SC"/>
        <family val="2"/>
      </rPr>
      <t xml:space="preserve">意味のある数値がそのまま書かれている（送料 </t>
    </r>
    <r>
      <rPr>
        <sz val="10"/>
        <rFont val="Meiryo UI"/>
        <family val="0"/>
        <charset val="1"/>
      </rPr>
      <t xml:space="preserve">500 </t>
    </r>
    <r>
      <rPr>
        <sz val="10"/>
        <rFont val="Noto Sans CJK SC"/>
        <family val="2"/>
      </rPr>
      <t xml:space="preserve">など）。名前の付いた定数か値オブジェクトにする</t>
    </r>
  </si>
  <si>
    <t xml:space="preserve">common.app-calculation</t>
  </si>
  <si>
    <t xml:space="preserve">アプリ</t>
  </si>
  <si>
    <t xml:space="preserve">アプリケーション層で計算している可能性。計算・判断はデータを持つドメインオブジェクトへ</t>
  </si>
  <si>
    <t xml:space="preserve">common.todo-null-object</t>
  </si>
  <si>
    <t xml:space="preserve">java, kotlin, typescript, csharp, php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</si>
  <si>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比較が多い（</t>
    </r>
    <r>
      <rPr>
        <sz val="10"/>
        <rFont val="Meiryo UI"/>
        <family val="0"/>
        <charset val="1"/>
      </rPr>
      <t xml:space="preserve">N </t>
    </r>
    <r>
      <rPr>
        <sz val="10"/>
        <rFont val="Noto Sans CJK SC"/>
        <family val="2"/>
      </rPr>
      <t xml:space="preserve">箇所）。『未設定』を型で表せないか</t>
    </r>
  </si>
  <si>
    <t xml:space="preserve">common.sql-update</t>
  </si>
  <si>
    <r>
      <rPr>
        <sz val="10"/>
        <rFont val="Meiryo UI"/>
        <family val="0"/>
        <charset val="1"/>
      </rPr>
      <t xml:space="preserve">UPDATE/DELETE </t>
    </r>
    <r>
      <rPr>
        <sz val="10"/>
        <rFont val="Noto Sans CJK SC"/>
        <family val="2"/>
      </rPr>
      <t xml:space="preserve">で記録を書き換えている。事実（コト）を追記し、状態はそこから導出できないか</t>
    </r>
  </si>
  <si>
    <t xml:space="preserve">common.compound-condition</t>
  </si>
  <si>
    <r>
      <rPr>
        <sz val="10"/>
        <rFont val="Noto Sans CJK SC"/>
        <family val="2"/>
      </rPr>
      <t xml:space="preserve">複文の条件。名前の付いた判断メソッド（</t>
    </r>
    <r>
      <rPr>
        <sz val="10"/>
        <rFont val="Meiryo UI"/>
        <family val="0"/>
        <charset val="1"/>
      </rPr>
      <t xml:space="preserve">isChild() </t>
    </r>
    <r>
      <rPr>
        <sz val="10"/>
        <rFont val="Noto Sans CJK SC"/>
        <family val="2"/>
      </rPr>
      <t xml:space="preserve">など）の単文に分ける</t>
    </r>
  </si>
  <si>
    <t xml:space="preserve">common.else</t>
  </si>
  <si>
    <r>
      <rPr>
        <sz val="10"/>
        <rFont val="Meiryo UI"/>
        <family val="0"/>
        <charset val="1"/>
      </rPr>
      <t xml:space="preserve">else </t>
    </r>
    <r>
      <rPr>
        <sz val="10"/>
        <rFont val="Noto Sans CJK SC"/>
        <family val="2"/>
      </rPr>
      <t xml:space="preserve">句。条件を満たしたら早期リターン（ガード節）にして </t>
    </r>
    <r>
      <rPr>
        <sz val="10"/>
        <rFont val="Meiryo UI"/>
        <family val="0"/>
        <charset val="1"/>
      </rPr>
      <t xml:space="preserve">else </t>
    </r>
    <r>
      <rPr>
        <sz val="10"/>
        <rFont val="Noto Sans CJK SC"/>
        <family val="2"/>
      </rPr>
      <t xml:space="preserve">をなくせないか</t>
    </r>
  </si>
  <si>
    <t xml:space="preserve">common.ui-calculation</t>
  </si>
  <si>
    <t xml:space="preserve">プレゼン</t>
  </si>
  <si>
    <t xml:space="preserve">画面（プレゼンテーション）で計算している。業務の計算はドメインオブジェクトのメソッドに</t>
  </si>
  <si>
    <t xml:space="preserve">common.ui-status-branch</t>
  </si>
  <si>
    <t xml:space="preserve">typescript, java, kotlin, csharp, php, python, ruby, go</t>
  </si>
  <si>
    <r>
      <rPr>
        <sz val="10"/>
        <rFont val="Noto Sans CJK SC"/>
        <family val="2"/>
      </rPr>
      <t xml:space="preserve">画面で状態コードを直接比較している。状態ごとの見せ方（ラベル・</t>
    </r>
    <r>
      <rPr>
        <sz val="10"/>
        <rFont val="Meiryo UI"/>
        <family val="0"/>
        <charset val="1"/>
      </rPr>
      <t xml:space="preserve">CSS </t>
    </r>
    <r>
      <rPr>
        <sz val="10"/>
        <rFont val="Noto Sans CJK SC"/>
        <family val="2"/>
      </rPr>
      <t xml:space="preserve">クラス・操作可否）はドメイン（状態オブジェクト）に持たせる</t>
    </r>
  </si>
  <si>
    <t xml:space="preserve">java.mutable-field</t>
  </si>
  <si>
    <t xml:space="preserve">java</t>
  </si>
  <si>
    <r>
      <rPr>
        <sz val="10"/>
        <rFont val="Noto Sans CJK SC"/>
        <family val="2"/>
      </rPr>
      <t xml:space="preserve">フィールドは </t>
    </r>
    <r>
      <rPr>
        <sz val="10"/>
        <rFont val="Meiryo UI"/>
        <family val="0"/>
        <charset val="1"/>
      </rPr>
      <t xml:space="preserve">final </t>
    </r>
    <r>
      <rPr>
        <sz val="10"/>
        <rFont val="Noto Sans CJK SC"/>
        <family val="2"/>
      </rPr>
      <t xml:space="preserve">に（不変）。可変が必要なエンティティは </t>
    </r>
    <r>
      <rPr>
        <sz val="10"/>
        <rFont val="Meiryo UI"/>
        <family val="0"/>
        <charset val="1"/>
      </rPr>
      <t xml:space="preserve">ADR </t>
    </r>
    <r>
      <rPr>
        <sz val="10"/>
        <rFont val="Noto Sans CJK SC"/>
        <family val="2"/>
      </rPr>
      <t xml:space="preserve">を書き、ファイルに </t>
    </r>
    <r>
      <rPr>
        <sz val="10"/>
        <rFont val="Meiryo UI"/>
        <family val="0"/>
        <charset val="1"/>
      </rPr>
      <t xml:space="preserve">// harness-allow-file: P06 ADR-xxxx</t>
    </r>
  </si>
  <si>
    <t xml:space="preserve">java.field-injection</t>
  </si>
  <si>
    <t xml:space="preserve">フィールドインジェクションではなくコンストラクタで受け取る（完全コンストラクタ）</t>
  </si>
  <si>
    <t xml:space="preserve">java.raw-collection-field</t>
  </si>
  <si>
    <t xml:space="preserve">生のコレクションを他のフィールドと並べて持っている。ファーストクラスコレクションで包めないか</t>
  </si>
  <si>
    <t xml:space="preserve">java.kubun-branch</t>
  </si>
  <si>
    <t xml:space="preserve">ドメイン・アプリ・プレゼン</t>
  </si>
  <si>
    <r>
      <rPr>
        <sz val="10"/>
        <rFont val="Noto Sans CJK SC"/>
        <family val="2"/>
      </rPr>
      <t xml:space="preserve">区分による分岐。振る舞いを区分オブジェクト</t>
    </r>
    <r>
      <rPr>
        <sz val="10"/>
        <rFont val="Meiryo UI"/>
        <family val="0"/>
        <charset val="1"/>
      </rPr>
      <t xml:space="preserve">(enum)</t>
    </r>
    <r>
      <rPr>
        <sz val="10"/>
        <rFont val="Noto Sans CJK SC"/>
        <family val="2"/>
      </rPr>
      <t xml:space="preserve">側に移せないか</t>
    </r>
  </si>
  <si>
    <t xml:space="preserve">java.getters</t>
  </si>
  <si>
    <r>
      <rPr>
        <sz val="10"/>
        <rFont val="Meiryo UI"/>
        <family val="0"/>
        <charset val="1"/>
      </rPr>
      <t xml:space="preserve">getter </t>
    </r>
    <r>
      <rPr>
        <sz val="10"/>
        <rFont val="Noto Sans CJK SC"/>
        <family val="2"/>
      </rPr>
      <t xml:space="preserve">が </t>
    </r>
    <r>
      <rPr>
        <sz val="10"/>
        <rFont val="Meiryo UI"/>
        <family val="0"/>
        <charset val="1"/>
      </rPr>
      <t xml:space="preserve">N </t>
    </r>
    <r>
      <rPr>
        <sz val="10"/>
        <rFont val="Noto Sans CJK SC"/>
        <family val="2"/>
      </rPr>
      <t xml:space="preserve">個。値を取り出して外で判断していないか（尋ねるな、命じよ）</t>
    </r>
  </si>
  <si>
    <t xml:space="preserve">java.lombok-mutable</t>
  </si>
  <si>
    <r>
      <rPr>
        <sz val="10"/>
        <rFont val="Meiryo UI"/>
        <family val="0"/>
        <charset val="1"/>
      </rPr>
      <t xml:space="preserve">@Setter/@Data </t>
    </r>
    <r>
      <rPr>
        <sz val="10"/>
        <rFont val="Noto Sans CJK SC"/>
        <family val="2"/>
      </rPr>
      <t xml:space="preserve">禁止。状態変更は業務の言葉のメソッドで表現する</t>
    </r>
  </si>
  <si>
    <t xml:space="preserve">java.public-field</t>
  </si>
  <si>
    <r>
      <rPr>
        <sz val="10"/>
        <rFont val="Meiryo UI"/>
        <family val="0"/>
        <charset val="1"/>
      </rPr>
      <t xml:space="preserve">public </t>
    </r>
    <r>
      <rPr>
        <sz val="10"/>
        <rFont val="Noto Sans CJK SC"/>
        <family val="2"/>
      </rPr>
      <t xml:space="preserve">フィールド禁止（内部状態を公開しない）</t>
    </r>
  </si>
  <si>
    <t xml:space="preserve">java.setter</t>
  </si>
  <si>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禁止。『何のために変えるのか』を表す業務メソッドにする</t>
    </r>
  </si>
  <si>
    <t xml:space="preserve">java.return-null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</si>
  <si>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を返さない。</t>
    </r>
    <r>
      <rPr>
        <sz val="10"/>
        <rFont val="Meiryo UI"/>
        <family val="0"/>
        <charset val="1"/>
      </rPr>
      <t xml:space="preserve">Optional / </t>
    </r>
    <r>
      <rPr>
        <sz val="10"/>
        <rFont val="Noto Sans CJK SC"/>
        <family val="2"/>
      </rPr>
      <t xml:space="preserve">空オブジェクト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『未設定』を表す型を使う</t>
    </r>
  </si>
  <si>
    <t xml:space="preserve">java.static-method</t>
  </si>
  <si>
    <r>
      <rPr>
        <sz val="10"/>
        <rFont val="Noto Sans CJK SC"/>
        <family val="2"/>
      </rPr>
      <t xml:space="preserve">インスタンス変数を使わない </t>
    </r>
    <r>
      <rPr>
        <sz val="10"/>
        <rFont val="Meiryo UI"/>
        <family val="0"/>
        <charset val="1"/>
      </rPr>
      <t xml:space="preserve">static </t>
    </r>
    <r>
      <rPr>
        <sz val="10"/>
        <rFont val="Noto Sans CJK SC"/>
        <family val="2"/>
      </rPr>
      <t xml:space="preserve">メソッド。処理するデータを持つクラスのメソッドにする（ファクトリは </t>
    </r>
    <r>
      <rPr>
        <sz val="10"/>
        <rFont val="Meiryo UI"/>
        <family val="0"/>
        <charset val="1"/>
      </rPr>
      <t xml:space="preserve">of/from/create </t>
    </r>
    <r>
      <rPr>
        <sz val="10"/>
        <rFont val="Noto Sans CJK SC"/>
        <family val="2"/>
      </rPr>
      <t xml:space="preserve">等で命名）</t>
    </r>
  </si>
  <si>
    <t xml:space="preserve">kotlin.var-ctor</t>
  </si>
  <si>
    <t xml:space="preserve">kotlin</t>
  </si>
  <si>
    <r>
      <rPr>
        <sz val="10"/>
        <rFont val="Noto Sans CJK SC"/>
        <family val="2"/>
      </rPr>
      <t xml:space="preserve">コンストラクタの </t>
    </r>
    <r>
      <rPr>
        <sz val="10"/>
        <rFont val="Meiryo UI"/>
        <family val="0"/>
        <charset val="1"/>
      </rPr>
      <t xml:space="preserve">var </t>
    </r>
    <r>
      <rPr>
        <sz val="10"/>
        <rFont val="Noto Sans CJK SC"/>
        <family val="2"/>
      </rPr>
      <t xml:space="preserve">プロパティ禁止。</t>
    </r>
    <r>
      <rPr>
        <sz val="10"/>
        <rFont val="Meiryo UI"/>
        <family val="0"/>
        <charset val="1"/>
      </rPr>
      <t xml:space="preserve">val </t>
    </r>
    <r>
      <rPr>
        <sz val="10"/>
        <rFont val="Noto Sans CJK SC"/>
        <family val="2"/>
      </rPr>
      <t xml:space="preserve">にする</t>
    </r>
  </si>
  <si>
    <t xml:space="preserve">kotlin.var-property</t>
  </si>
  <si>
    <r>
      <rPr>
        <sz val="10"/>
        <rFont val="Noto Sans CJK SC"/>
        <family val="2"/>
      </rPr>
      <t xml:space="preserve">プロパティは </t>
    </r>
    <r>
      <rPr>
        <sz val="10"/>
        <rFont val="Meiryo UI"/>
        <family val="0"/>
        <charset val="1"/>
      </rPr>
      <t xml:space="preserve">val </t>
    </r>
    <r>
      <rPr>
        <sz val="10"/>
        <rFont val="Noto Sans CJK SC"/>
        <family val="2"/>
      </rPr>
      <t xml:space="preserve">に（不変）。変更は新しいインスタンスを返す（</t>
    </r>
    <r>
      <rPr>
        <sz val="10"/>
        <rFont val="Meiryo UI"/>
        <family val="0"/>
        <charset val="1"/>
      </rPr>
      <t xml:space="preserve">copy</t>
    </r>
    <r>
      <rPr>
        <sz val="10"/>
        <rFont val="Noto Sans CJK SC"/>
        <family val="2"/>
      </rPr>
      <t xml:space="preserve">）</t>
    </r>
  </si>
  <si>
    <t xml:space="preserve">kotlin.kubun-branch</t>
  </si>
  <si>
    <r>
      <rPr>
        <sz val="10"/>
        <rFont val="Noto Sans CJK SC"/>
        <family val="2"/>
      </rPr>
      <t xml:space="preserve">区分による分岐。振る舞いを </t>
    </r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側に移せないか</t>
    </r>
  </si>
  <si>
    <t xml:space="preserve">kotlin.setter</t>
  </si>
  <si>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禁止。業務の言葉のメソッドで新しい値を返す</t>
    </r>
  </si>
  <si>
    <t xml:space="preserve">kotlin.not-null-assert</t>
  </si>
  <si>
    <r>
      <rPr>
        <sz val="10"/>
        <rFont val="Meiryo UI"/>
        <family val="0"/>
        <charset val="1"/>
      </rPr>
      <t xml:space="preserve">!! </t>
    </r>
    <r>
      <rPr>
        <sz val="10"/>
        <rFont val="Noto Sans CJK SC"/>
        <family val="2"/>
      </rPr>
      <t xml:space="preserve">は契約が型で表現されていない兆候</t>
    </r>
  </si>
  <si>
    <t xml:space="preserve">kotlin.return-null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</si>
  <si>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を返さない。</t>
    </r>
    <r>
      <rPr>
        <sz val="10"/>
        <rFont val="Meiryo UI"/>
        <family val="0"/>
        <charset val="1"/>
      </rPr>
      <t xml:space="preserve">sealed class </t>
    </r>
    <r>
      <rPr>
        <sz val="10"/>
        <rFont val="Noto Sans CJK SC"/>
        <family val="2"/>
      </rPr>
      <t xml:space="preserve">等で『未設定』を表す</t>
    </r>
  </si>
  <si>
    <t xml:space="preserve">kotlin.top-level-fun</t>
  </si>
  <si>
    <t xml:space="preserve">トップレベル関数に業務ロジック。処理するデータを持つクラスのメソッド（または拡張関数ではなくメンバ）にする</t>
  </si>
  <si>
    <t xml:space="preserve">ts.any</t>
  </si>
  <si>
    <t xml:space="preserve">typescript</t>
  </si>
  <si>
    <r>
      <rPr>
        <sz val="10"/>
        <rFont val="Meiryo UI"/>
        <family val="0"/>
        <charset val="1"/>
      </rPr>
      <t xml:space="preserve">any </t>
    </r>
    <r>
      <rPr>
        <sz val="10"/>
        <rFont val="Noto Sans CJK SC"/>
        <family val="2"/>
      </rPr>
      <t xml:space="preserve">は型による業務の表現を放棄している</t>
    </r>
  </si>
  <si>
    <t xml:space="preserve">ts.export-let</t>
  </si>
  <si>
    <t xml:space="preserve">モジュールレベルの可変状態を公開しない</t>
  </si>
  <si>
    <t xml:space="preserve">ts.mutable-property</t>
  </si>
  <si>
    <r>
      <rPr>
        <sz val="10"/>
        <rFont val="Noto Sans CJK SC"/>
        <family val="2"/>
      </rPr>
      <t xml:space="preserve">クラスのプロパティは </t>
    </r>
    <r>
      <rPr>
        <sz val="10"/>
        <rFont val="Meiryo UI"/>
        <family val="0"/>
        <charset val="1"/>
      </rPr>
      <t xml:space="preserve">readonly </t>
    </r>
    <r>
      <rPr>
        <sz val="10"/>
        <rFont val="Noto Sans CJK SC"/>
        <family val="2"/>
      </rPr>
      <t xml:space="preserve">に（不変）</t>
    </r>
  </si>
  <si>
    <t xml:space="preserve">ts.kubun-branch</t>
  </si>
  <si>
    <r>
      <rPr>
        <sz val="10"/>
        <rFont val="Noto Sans CJK SC"/>
        <family val="2"/>
      </rPr>
      <t xml:space="preserve">区分による分岐。区分ごとの振る舞いをオブジェクト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マップに持たせられないか</t>
    </r>
  </si>
  <si>
    <t xml:space="preserve">ts.getters</t>
  </si>
  <si>
    <r>
      <rPr>
        <sz val="10"/>
        <rFont val="Meiryo UI"/>
        <family val="0"/>
        <charset val="1"/>
      </rPr>
      <t xml:space="preserve">getter </t>
    </r>
    <r>
      <rPr>
        <sz val="10"/>
        <rFont val="Noto Sans CJK SC"/>
        <family val="2"/>
      </rPr>
      <t xml:space="preserve">が </t>
    </r>
    <r>
      <rPr>
        <sz val="10"/>
        <rFont val="Meiryo UI"/>
        <family val="0"/>
        <charset val="1"/>
      </rPr>
      <t xml:space="preserve">N </t>
    </r>
    <r>
      <rPr>
        <sz val="10"/>
        <rFont val="Noto Sans CJK SC"/>
        <family val="2"/>
      </rPr>
      <t xml:space="preserve">個。値を取り出して外で判断していないか</t>
    </r>
  </si>
  <si>
    <t xml:space="preserve">ts.setter</t>
  </si>
  <si>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禁止。業務の言葉のメソッドで新しいオブジェクトを返す</t>
    </r>
  </si>
  <si>
    <t xml:space="preserve">ts.return-null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</si>
  <si>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を返さない。</t>
    </r>
    <r>
      <rPr>
        <sz val="10"/>
        <rFont val="Meiryo UI"/>
        <family val="0"/>
        <charset val="1"/>
      </rPr>
      <t xml:space="preserve">Result </t>
    </r>
    <r>
      <rPr>
        <sz val="10"/>
        <rFont val="Noto Sans CJK SC"/>
        <family val="2"/>
      </rPr>
      <t xml:space="preserve">型や『未設定』を表す型を使う</t>
    </r>
  </si>
  <si>
    <t xml:space="preserve">ts.fetch</t>
  </si>
  <si>
    <r>
      <rPr>
        <sz val="10"/>
        <rFont val="Noto Sans CJK SC"/>
        <family val="2"/>
      </rPr>
      <t xml:space="preserve">ドメインで </t>
    </r>
    <r>
      <rPr>
        <sz val="10"/>
        <rFont val="Meiryo UI"/>
        <family val="0"/>
        <charset val="1"/>
      </rPr>
      <t xml:space="preserve">I/O</t>
    </r>
    <r>
      <rPr>
        <sz val="10"/>
        <rFont val="Noto Sans CJK SC"/>
        <family val="2"/>
      </rPr>
      <t xml:space="preserve">・ブラウザ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を使っている。外側の層へ</t>
    </r>
  </si>
  <si>
    <t xml:space="preserve">ts.domain-function</t>
  </si>
  <si>
    <t xml:space="preserve">ドメインオブジェクトを引数に取る関数。データを持つ型のメソッドにできないか（データとロジックを一緒に）</t>
  </si>
  <si>
    <t xml:space="preserve">ts.static-method</t>
  </si>
  <si>
    <r>
      <rPr>
        <sz val="10"/>
        <rFont val="Noto Sans CJK SC"/>
        <family val="2"/>
      </rPr>
      <t xml:space="preserve">インスタンス変数を使わない </t>
    </r>
    <r>
      <rPr>
        <sz val="10"/>
        <rFont val="Meiryo UI"/>
        <family val="0"/>
        <charset val="1"/>
      </rPr>
      <t xml:space="preserve">static </t>
    </r>
    <r>
      <rPr>
        <sz val="10"/>
        <rFont val="Noto Sans CJK SC"/>
        <family val="2"/>
      </rPr>
      <t xml:space="preserve">メソッド。処理するデータを持つクラスのメソッドにする</t>
    </r>
  </si>
  <si>
    <t xml:space="preserve">python.dict-domain</t>
  </si>
  <si>
    <t xml:space="preserve">python</t>
  </si>
  <si>
    <r>
      <rPr>
        <sz val="10"/>
        <rFont val="Meiryo UI"/>
        <family val="0"/>
        <charset val="1"/>
      </rPr>
      <t xml:space="preserve">dict </t>
    </r>
    <r>
      <rPr>
        <sz val="10"/>
        <rFont val="Noto Sans CJK SC"/>
        <family val="2"/>
      </rPr>
      <t xml:space="preserve">で業務データを表している。値オブジェクトにできないか</t>
    </r>
  </si>
  <si>
    <t xml:space="preserve">python.dataclass-not-frozen</t>
  </si>
  <si>
    <r>
      <rPr>
        <sz val="10"/>
        <rFont val="Meiryo UI"/>
        <family val="0"/>
        <charset val="1"/>
      </rPr>
      <t xml:space="preserve">dataclass </t>
    </r>
    <r>
      <rPr>
        <sz val="10"/>
        <rFont val="Noto Sans CJK SC"/>
        <family val="2"/>
      </rPr>
      <t xml:space="preserve">は </t>
    </r>
    <r>
      <rPr>
        <sz val="10"/>
        <rFont val="Meiryo UI"/>
        <family val="0"/>
        <charset val="1"/>
      </rPr>
      <t xml:space="preserve">frozen=True </t>
    </r>
    <r>
      <rPr>
        <sz val="10"/>
        <rFont val="Noto Sans CJK SC"/>
        <family val="2"/>
      </rPr>
      <t xml:space="preserve">に（不変）。変更は </t>
    </r>
    <r>
      <rPr>
        <sz val="10"/>
        <rFont val="Meiryo UI"/>
        <family val="0"/>
        <charset val="1"/>
      </rPr>
      <t xml:space="preserve">dataclasses.replace </t>
    </r>
    <r>
      <rPr>
        <sz val="10"/>
        <rFont val="Noto Sans CJK SC"/>
        <family val="2"/>
      </rPr>
      <t xml:space="preserve">で新しい値を返す</t>
    </r>
  </si>
  <si>
    <t xml:space="preserve">python.self-mutation</t>
  </si>
  <si>
    <r>
      <rPr>
        <sz val="10"/>
        <rFont val="Noto Sans CJK SC"/>
        <family val="2"/>
      </rPr>
      <t xml:space="preserve">生成後に属性を書き換えている。新しいインスタンスを返す（例外は </t>
    </r>
    <r>
      <rPr>
        <sz val="10"/>
        <rFont val="Meiryo UI"/>
        <family val="0"/>
        <charset val="1"/>
      </rPr>
      <t xml:space="preserve">harness-allow: P06 ADR-xxxx</t>
    </r>
    <r>
      <rPr>
        <sz val="10"/>
        <rFont val="Noto Sans CJK SC"/>
        <family val="2"/>
      </rPr>
      <t xml:space="preserve">）</t>
    </r>
  </si>
  <si>
    <t xml:space="preserve">python.kubun-branch</t>
  </si>
  <si>
    <r>
      <rPr>
        <sz val="10"/>
        <rFont val="Noto Sans CJK SC"/>
        <family val="2"/>
      </rPr>
      <t xml:space="preserve">区分による分岐。振る舞いを </t>
    </r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側に持たせられないか</t>
    </r>
  </si>
  <si>
    <t xml:space="preserve">python.setter</t>
  </si>
  <si>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禁止。業務の言葉のメソッドにする</t>
    </r>
  </si>
  <si>
    <t xml:space="preserve">python.return-none</t>
  </si>
  <si>
    <r>
      <rPr>
        <sz val="10"/>
        <rFont val="Meiryo UI"/>
        <family val="0"/>
        <charset val="1"/>
      </rPr>
      <t xml:space="preserve">None </t>
    </r>
    <r>
      <rPr>
        <sz val="10"/>
        <rFont val="Noto Sans CJK SC"/>
        <family val="2"/>
      </rPr>
      <t xml:space="preserve">を返している。『該当なし』を表す型や例外で契約を明示できないか</t>
    </r>
  </si>
  <si>
    <t xml:space="preserve">python.staticmethod</t>
  </si>
  <si>
    <r>
      <rPr>
        <sz val="10"/>
        <rFont val="Noto Sans CJK SC"/>
        <family val="2"/>
      </rPr>
      <t xml:space="preserve">インスタンス変数を使わないメソッド。データを持つクラスへ移すか、ファクトリなら </t>
    </r>
    <r>
      <rPr>
        <sz val="10"/>
        <rFont val="Meiryo UI"/>
        <family val="0"/>
        <charset val="1"/>
      </rPr>
      <t xml:space="preserve">@classmethod </t>
    </r>
    <r>
      <rPr>
        <sz val="10"/>
        <rFont val="Noto Sans CJK SC"/>
        <family val="2"/>
      </rPr>
      <t xml:space="preserve">で </t>
    </r>
    <r>
      <rPr>
        <sz val="10"/>
        <rFont val="Meiryo UI"/>
        <family val="0"/>
        <charset val="1"/>
      </rPr>
      <t xml:space="preserve">of/from </t>
    </r>
    <r>
      <rPr>
        <sz val="10"/>
        <rFont val="Noto Sans CJK SC"/>
        <family val="2"/>
      </rPr>
      <t xml:space="preserve">と命名</t>
    </r>
  </si>
  <si>
    <t xml:space="preserve">go.pointer-receiver</t>
  </si>
  <si>
    <t xml:space="preserve">go</t>
  </si>
  <si>
    <t xml:space="preserve">ポインタレシーバは状態変更の兆候。値レシーバで新しい値を返せないか</t>
  </si>
  <si>
    <t xml:space="preserve">go.kubun-branch</t>
  </si>
  <si>
    <t xml:space="preserve">アプリ・プレゼン</t>
  </si>
  <si>
    <t xml:space="preserve">区分による分岐。振る舞いを区分型のメソッドに持たせられないか</t>
  </si>
  <si>
    <t xml:space="preserve">go.exported-field</t>
  </si>
  <si>
    <r>
      <rPr>
        <sz val="10"/>
        <rFont val="Noto Sans CJK SC"/>
        <family val="2"/>
      </rPr>
      <t xml:space="preserve">公開フィールド禁止。非公開フィールド </t>
    </r>
    <r>
      <rPr>
        <sz val="10"/>
        <rFont val="Meiryo UI"/>
        <family val="0"/>
        <charset val="1"/>
      </rPr>
      <t xml:space="preserve">+ </t>
    </r>
    <r>
      <rPr>
        <sz val="10"/>
        <rFont val="Noto Sans CJK SC"/>
        <family val="2"/>
      </rPr>
      <t xml:space="preserve">コンストラクタ関数</t>
    </r>
    <r>
      <rPr>
        <sz val="10"/>
        <rFont val="Meiryo UI"/>
        <family val="0"/>
        <charset val="1"/>
      </rPr>
      <t xml:space="preserve">(New...)</t>
    </r>
    <r>
      <rPr>
        <sz val="10"/>
        <rFont val="Noto Sans CJK SC"/>
        <family val="2"/>
      </rPr>
      <t xml:space="preserve">で不変条件を守る</t>
    </r>
  </si>
  <si>
    <t xml:space="preserve">go.setter</t>
  </si>
  <si>
    <t xml:space="preserve">go.nil-nil</t>
  </si>
  <si>
    <r>
      <rPr>
        <sz val="10"/>
        <rFont val="Meiryo UI"/>
        <family val="0"/>
        <charset val="1"/>
      </rPr>
      <t xml:space="preserve">(nil, nil) </t>
    </r>
    <r>
      <rPr>
        <sz val="10"/>
        <rFont val="Noto Sans CJK SC"/>
        <family val="2"/>
      </rPr>
      <t xml:space="preserve">は『無い』と『失敗』の区別を失う。</t>
    </r>
    <r>
      <rPr>
        <sz val="10"/>
        <rFont val="Meiryo UI"/>
        <family val="0"/>
        <charset val="1"/>
      </rPr>
      <t xml:space="preserve">ErrNotFound </t>
    </r>
    <r>
      <rPr>
        <sz val="10"/>
        <rFont val="Noto Sans CJK SC"/>
        <family val="2"/>
      </rPr>
      <t xml:space="preserve">等を返す</t>
    </r>
  </si>
  <si>
    <t xml:space="preserve">go.struct-tags</t>
  </si>
  <si>
    <r>
      <rPr>
        <sz val="10"/>
        <rFont val="Noto Sans CJK SC"/>
        <family val="2"/>
      </rPr>
      <t xml:space="preserve">ドメインの構造体にシリアライズ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永続化タグ。変換は外側の層で</t>
    </r>
  </si>
  <si>
    <t xml:space="preserve">go.func-on-domain-type</t>
  </si>
  <si>
    <r>
      <rPr>
        <sz val="10"/>
        <rFont val="Noto Sans CJK SC"/>
        <family val="2"/>
      </rPr>
      <t xml:space="preserve">ドメイン型を第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引数に取る関数。その型のメソッドにできないか（データとロジックを一緒に）</t>
    </r>
  </si>
  <si>
    <t xml:space="preserve">cs.mutable-field</t>
  </si>
  <si>
    <t xml:space="preserve">csharp</t>
  </si>
  <si>
    <r>
      <rPr>
        <sz val="10"/>
        <rFont val="Noto Sans CJK SC"/>
        <family val="2"/>
      </rPr>
      <t xml:space="preserve">フィールドは </t>
    </r>
    <r>
      <rPr>
        <sz val="10"/>
        <rFont val="Meiryo UI"/>
        <family val="0"/>
        <charset val="1"/>
      </rPr>
      <t xml:space="preserve">readonly </t>
    </r>
    <r>
      <rPr>
        <sz val="10"/>
        <rFont val="Noto Sans CJK SC"/>
        <family val="2"/>
      </rPr>
      <t xml:space="preserve">に（不変）</t>
    </r>
  </si>
  <si>
    <t xml:space="preserve">cs.kubun-branch</t>
  </si>
  <si>
    <r>
      <rPr>
        <sz val="10"/>
        <rFont val="Noto Sans CJK SC"/>
        <family val="2"/>
      </rPr>
      <t xml:space="preserve">区分による分岐。振る舞いを区分型（スマート </t>
    </r>
    <r>
      <rPr>
        <sz val="10"/>
        <rFont val="Meiryo UI"/>
        <family val="0"/>
        <charset val="1"/>
      </rPr>
      <t xml:space="preserve">enum</t>
    </r>
    <r>
      <rPr>
        <sz val="10"/>
        <rFont val="Noto Sans CJK SC"/>
        <family val="2"/>
      </rPr>
      <t xml:space="preserve">）に持たせられないか</t>
    </r>
  </si>
  <si>
    <t xml:space="preserve">cs.public-field</t>
  </si>
  <si>
    <r>
      <rPr>
        <sz val="10"/>
        <rFont val="Meiryo UI"/>
        <family val="0"/>
        <charset val="1"/>
      </rPr>
      <t xml:space="preserve">public </t>
    </r>
    <r>
      <rPr>
        <sz val="10"/>
        <rFont val="Noto Sans CJK SC"/>
        <family val="2"/>
      </rPr>
      <t xml:space="preserve">フィールド禁止</t>
    </r>
  </si>
  <si>
    <t xml:space="preserve">cs.public-setter</t>
  </si>
  <si>
    <r>
      <rPr>
        <sz val="10"/>
        <rFont val="Noto Sans CJK SC"/>
        <family val="2"/>
      </rPr>
      <t xml:space="preserve">公開 </t>
    </r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禁止。</t>
    </r>
    <r>
      <rPr>
        <sz val="10"/>
        <rFont val="Meiryo UI"/>
        <family val="0"/>
        <charset val="1"/>
      </rPr>
      <t xml:space="preserve">init / </t>
    </r>
    <r>
      <rPr>
        <sz val="10"/>
        <rFont val="Noto Sans CJK SC"/>
        <family val="2"/>
      </rPr>
      <t xml:space="preserve">業務の言葉のメソッドで</t>
    </r>
  </si>
  <si>
    <t xml:space="preserve">cs.return-null</t>
  </si>
  <si>
    <r>
      <rPr>
        <sz val="10"/>
        <rFont val="Meiryo UI"/>
        <family val="0"/>
        <charset val="1"/>
      </rPr>
      <t xml:space="preserve">null </t>
    </r>
    <r>
      <rPr>
        <sz val="10"/>
        <rFont val="Noto Sans CJK SC"/>
        <family val="2"/>
      </rPr>
      <t xml:space="preserve">を返さない</t>
    </r>
  </si>
  <si>
    <t xml:space="preserve">cs.persistence-attr</t>
  </si>
  <si>
    <r>
      <rPr>
        <sz val="10"/>
        <rFont val="Noto Sans CJK SC"/>
        <family val="2"/>
      </rPr>
      <t xml:space="preserve">ドメインに永続化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シリアライズ属性。マッピングは </t>
    </r>
    <r>
      <rPr>
        <sz val="10"/>
        <rFont val="Meiryo UI"/>
        <family val="0"/>
        <charset val="1"/>
      </rPr>
      <t xml:space="preserve">Infrastructure </t>
    </r>
    <r>
      <rPr>
        <sz val="10"/>
        <rFont val="Noto Sans CJK SC"/>
        <family val="2"/>
      </rPr>
      <t xml:space="preserve">で</t>
    </r>
  </si>
  <si>
    <t xml:space="preserve">cs.static-method</t>
  </si>
  <si>
    <r>
      <rPr>
        <sz val="10"/>
        <rFont val="Noto Sans CJK SC"/>
        <family val="2"/>
      </rPr>
      <t xml:space="preserve">インスタンス変数を使わない </t>
    </r>
    <r>
      <rPr>
        <sz val="10"/>
        <rFont val="Meiryo UI"/>
        <family val="0"/>
        <charset val="1"/>
      </rPr>
      <t xml:space="preserve">static </t>
    </r>
    <r>
      <rPr>
        <sz val="10"/>
        <rFont val="Noto Sans CJK SC"/>
        <family val="2"/>
      </rPr>
      <t xml:space="preserve">メソッド。処理するデータを持つ型のメソッドにする</t>
    </r>
  </si>
  <si>
    <t xml:space="preserve">php.mutable-property</t>
  </si>
  <si>
    <t xml:space="preserve">php</t>
  </si>
  <si>
    <r>
      <rPr>
        <sz val="10"/>
        <rFont val="Noto Sans CJK SC"/>
        <family val="2"/>
      </rPr>
      <t xml:space="preserve">プロパティは </t>
    </r>
    <r>
      <rPr>
        <sz val="10"/>
        <rFont val="Meiryo UI"/>
        <family val="0"/>
        <charset val="1"/>
      </rPr>
      <t xml:space="preserve">readonly </t>
    </r>
    <r>
      <rPr>
        <sz val="10"/>
        <rFont val="Noto Sans CJK SC"/>
        <family val="2"/>
      </rPr>
      <t xml:space="preserve">に（不変）</t>
    </r>
  </si>
  <si>
    <t xml:space="preserve">php.kubun-branch</t>
  </si>
  <si>
    <r>
      <rPr>
        <sz val="10"/>
        <rFont val="Noto Sans CJK SC"/>
        <family val="2"/>
      </rPr>
      <t xml:space="preserve">区分による分岐。振る舞いを </t>
    </r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側のメソッドに持たせられないか</t>
    </r>
  </si>
  <si>
    <t xml:space="preserve">php.public-property</t>
  </si>
  <si>
    <r>
      <rPr>
        <sz val="10"/>
        <rFont val="Meiryo UI"/>
        <family val="0"/>
        <charset val="1"/>
      </rPr>
      <t xml:space="preserve">public </t>
    </r>
    <r>
      <rPr>
        <sz val="10"/>
        <rFont val="Noto Sans CJK SC"/>
        <family val="2"/>
      </rPr>
      <t xml:space="preserve">プロパティは </t>
    </r>
    <r>
      <rPr>
        <sz val="10"/>
        <rFont val="Meiryo UI"/>
        <family val="0"/>
        <charset val="1"/>
      </rPr>
      <t xml:space="preserve">readonly </t>
    </r>
    <r>
      <rPr>
        <sz val="10"/>
        <rFont val="Noto Sans CJK SC"/>
        <family val="2"/>
      </rPr>
      <t xml:space="preserve">に</t>
    </r>
  </si>
  <si>
    <t xml:space="preserve">php.setter</t>
  </si>
  <si>
    <t xml:space="preserve">php.return-null</t>
  </si>
  <si>
    <t xml:space="preserve">php.active-record</t>
  </si>
  <si>
    <r>
      <rPr>
        <sz val="10"/>
        <rFont val="Noto Sans CJK SC"/>
        <family val="2"/>
      </rPr>
      <t xml:space="preserve">ドメインオブジェクトを </t>
    </r>
    <r>
      <rPr>
        <sz val="10"/>
        <rFont val="Meiryo UI"/>
        <family val="0"/>
        <charset val="1"/>
      </rPr>
      <t xml:space="preserve">ORM </t>
    </r>
    <r>
      <rPr>
        <sz val="10"/>
        <rFont val="Noto Sans CJK SC"/>
        <family val="2"/>
      </rPr>
      <t xml:space="preserve">モデルにしない。</t>
    </r>
    <r>
      <rPr>
        <sz val="10"/>
        <rFont val="Meiryo UI"/>
        <family val="0"/>
        <charset val="1"/>
      </rPr>
      <t xml:space="preserve">Eloquent </t>
    </r>
    <r>
      <rPr>
        <sz val="10"/>
        <rFont val="Noto Sans CJK SC"/>
        <family val="2"/>
      </rPr>
      <t xml:space="preserve">モデルは </t>
    </r>
    <r>
      <rPr>
        <sz val="10"/>
        <rFont val="Meiryo UI"/>
        <family val="0"/>
        <charset val="1"/>
      </rPr>
      <t xml:space="preserve">Infrastructure </t>
    </r>
    <r>
      <rPr>
        <sz val="10"/>
        <rFont val="Noto Sans CJK SC"/>
        <family val="2"/>
      </rPr>
      <t xml:space="preserve">側で変換</t>
    </r>
  </si>
  <si>
    <t xml:space="preserve">php.static-method</t>
  </si>
  <si>
    <t xml:space="preserve">ruby.ivar-mutation</t>
  </si>
  <si>
    <t xml:space="preserve">ruby</t>
  </si>
  <si>
    <t xml:space="preserve">生成後にインスタンス変数を書き換えている。新しいインスタンスを返す</t>
  </si>
  <si>
    <t xml:space="preserve">ruby.kubun-branch</t>
  </si>
  <si>
    <t xml:space="preserve">区分による分岐。振る舞いを区分オブジェクトに持たせられないか</t>
  </si>
  <si>
    <t xml:space="preserve">ruby.accessor</t>
  </si>
  <si>
    <r>
      <rPr>
        <sz val="10"/>
        <rFont val="Meiryo UI"/>
        <family val="0"/>
        <charset val="1"/>
      </rPr>
      <t xml:space="preserve">attr_accessor/attr_writer </t>
    </r>
    <r>
      <rPr>
        <sz val="10"/>
        <rFont val="Noto Sans CJK SC"/>
        <family val="2"/>
      </rPr>
      <t xml:space="preserve">禁止。</t>
    </r>
    <r>
      <rPr>
        <sz val="10"/>
        <rFont val="Meiryo UI"/>
        <family val="0"/>
        <charset val="1"/>
      </rPr>
      <t xml:space="preserve">attr_reader </t>
    </r>
    <r>
      <rPr>
        <sz val="10"/>
        <rFont val="Noto Sans CJK SC"/>
        <family val="2"/>
      </rPr>
      <t xml:space="preserve">と業務の言葉のメソッドで</t>
    </r>
  </si>
  <si>
    <t xml:space="preserve">ruby.setter</t>
  </si>
  <si>
    <r>
      <rPr>
        <sz val="10"/>
        <rFont val="Meiryo UI"/>
        <family val="0"/>
        <charset val="1"/>
      </rPr>
      <t xml:space="preserve">setter </t>
    </r>
    <r>
      <rPr>
        <sz val="10"/>
        <rFont val="Noto Sans CJK SC"/>
        <family val="2"/>
      </rPr>
      <t xml:space="preserve">禁止</t>
    </r>
  </si>
  <si>
    <t xml:space="preserve">ruby.return-nil</t>
  </si>
  <si>
    <r>
      <rPr>
        <sz val="10"/>
        <rFont val="Meiryo UI"/>
        <family val="0"/>
        <charset val="1"/>
      </rPr>
      <t xml:space="preserve">nil </t>
    </r>
    <r>
      <rPr>
        <sz val="10"/>
        <rFont val="Noto Sans CJK SC"/>
        <family val="2"/>
      </rPr>
      <t xml:space="preserve">を返している。『該当なし』をオブジェクトで表せないか</t>
    </r>
  </si>
  <si>
    <t xml:space="preserve">ruby.active-record</t>
  </si>
  <si>
    <r>
      <rPr>
        <sz val="10"/>
        <rFont val="Noto Sans CJK SC"/>
        <family val="2"/>
      </rPr>
      <t xml:space="preserve">ドメインオブジェクトを </t>
    </r>
    <r>
      <rPr>
        <sz val="10"/>
        <rFont val="Meiryo UI"/>
        <family val="0"/>
        <charset val="1"/>
      </rPr>
      <t xml:space="preserve">ActiveRecord </t>
    </r>
    <r>
      <rPr>
        <sz val="10"/>
        <rFont val="Noto Sans CJK SC"/>
        <family val="2"/>
      </rPr>
      <t xml:space="preserve">にしない。</t>
    </r>
    <r>
      <rPr>
        <sz val="10"/>
        <rFont val="Meiryo UI"/>
        <family val="0"/>
        <charset val="1"/>
      </rPr>
      <t xml:space="preserve">app/models </t>
    </r>
    <r>
      <rPr>
        <sz val="10"/>
        <rFont val="Noto Sans CJK SC"/>
        <family val="2"/>
      </rPr>
      <t xml:space="preserve">は </t>
    </r>
    <r>
      <rPr>
        <sz val="10"/>
        <rFont val="Meiryo UI"/>
        <family val="0"/>
        <charset val="1"/>
      </rPr>
      <t xml:space="preserve">Infrastructure </t>
    </r>
    <r>
      <rPr>
        <sz val="10"/>
        <rFont val="Noto Sans CJK SC"/>
        <family val="2"/>
      </rPr>
      <t xml:space="preserve">として扱い変換する</t>
    </r>
  </si>
  <si>
    <t xml:space="preserve">ruby.class-method</t>
  </si>
  <si>
    <t xml:space="preserve">インスタンス変数を使わないクラスメソッド。処理するデータを持つクラスのインスタンスメソッドにする</t>
  </si>
  <si>
    <t xml:space="preserve">calisthenics.instance-vars-java</t>
  </si>
  <si>
    <t xml:space="preserve">calisthenics</t>
  </si>
  <si>
    <t xml:space="preserve">java, csharp</t>
  </si>
  <si>
    <r>
      <rPr>
        <sz val="10"/>
        <rFont val="Noto Sans CJK SC"/>
        <family val="2"/>
      </rPr>
      <t xml:space="preserve">規則</t>
    </r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「インスタンス変数は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つまで」。</t>
    </r>
    <r>
      <rPr>
        <sz val="10"/>
        <rFont val="Meiryo UI"/>
        <family val="0"/>
        <charset val="1"/>
      </rPr>
      <t xml:space="preserve">N </t>
    </r>
    <r>
      <rPr>
        <sz val="10"/>
        <rFont val="Noto Sans CJK SC"/>
        <family val="2"/>
      </rPr>
      <t xml:space="preserve">個ある。関連する値を値オブジェクトにまとめる</t>
    </r>
  </si>
  <si>
    <t xml:space="preserve">calisthenics.instance-vars-ts</t>
  </si>
  <si>
    <t xml:space="preserve">calisthenics.primitive-field</t>
  </si>
  <si>
    <t xml:space="preserve">java, kotlin, csharp, typescript</t>
  </si>
  <si>
    <r>
      <rPr>
        <sz val="10"/>
        <rFont val="Noto Sans CJK SC"/>
        <family val="2"/>
      </rPr>
      <t xml:space="preserve">規則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「プリミティブ型をラップする」。業務の値は値オブジェクトに</t>
    </r>
  </si>
  <si>
    <t xml:space="preserve">calisthenics.one-dot</t>
  </si>
  <si>
    <r>
      <rPr>
        <sz val="10"/>
        <rFont val="Noto Sans CJK SC"/>
        <family val="2"/>
      </rPr>
      <t xml:space="preserve">規則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「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行につきドットは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つ」。他のオブジェクトの中身をたどらず、直接の相手に命じる</t>
    </r>
  </si>
  <si>
    <t xml:space="preserve">対象</t>
  </si>
  <si>
    <t xml:space="preserve">合計</t>
  </si>
  <si>
    <r>
      <rPr>
        <sz val="10"/>
        <rFont val="Noto Sans CJK SC"/>
        <family val="2"/>
      </rPr>
      <t xml:space="preserve">全言語共通の組み込み（長さ・引数・ネスト・依存方向・</t>
    </r>
    <r>
      <rPr>
        <sz val="10"/>
        <rFont val="Meiryo UI"/>
        <family val="0"/>
        <charset val="1"/>
      </rPr>
      <t xml:space="preserve">SQL</t>
    </r>
    <r>
      <rPr>
        <sz val="10"/>
        <rFont val="Noto Sans CJK SC"/>
        <family val="2"/>
      </rPr>
      <t xml:space="preserve">）</t>
    </r>
  </si>
  <si>
    <t xml:space="preserve">全言語共通ルール</t>
  </si>
  <si>
    <t xml:space="preserve">Java</t>
  </si>
  <si>
    <t xml:space="preserve">Kotlin</t>
  </si>
  <si>
    <t xml:space="preserve">TypeScript / JavaScript</t>
  </si>
  <si>
    <t xml:space="preserve">Python</t>
  </si>
  <si>
    <t xml:space="preserve">Go</t>
  </si>
  <si>
    <t xml:space="preserve">C#</t>
  </si>
  <si>
    <t xml:space="preserve">PHP</t>
  </si>
  <si>
    <t xml:space="preserve">Ruby</t>
  </si>
  <si>
    <t xml:space="preserve">過激なコーディング規則（任意）</t>
  </si>
  <si>
    <r>
      <rPr>
        <sz val="9"/>
        <color rgb="FF595959"/>
        <rFont val="Noto Sans CJK SC"/>
        <family val="2"/>
      </rPr>
      <t xml:space="preserve">※ 組み込みと </t>
    </r>
    <r>
      <rPr>
        <sz val="9"/>
        <color rgb="FF595959"/>
        <rFont val="Meiryo UI"/>
        <family val="0"/>
        <charset val="1"/>
      </rPr>
      <t xml:space="preserve">common </t>
    </r>
    <r>
      <rPr>
        <sz val="9"/>
        <color rgb="FF595959"/>
        <rFont val="Noto Sans CJK SC"/>
        <family val="2"/>
      </rPr>
      <t xml:space="preserve">は全言語に適用される。各言語で実際に効くルール数 </t>
    </r>
    <r>
      <rPr>
        <sz val="9"/>
        <color rgb="FF595959"/>
        <rFont val="Meiryo UI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組み込み＋</t>
    </r>
    <r>
      <rPr>
        <sz val="9"/>
        <color rgb="FF595959"/>
        <rFont val="Meiryo UI"/>
        <family val="0"/>
        <charset val="1"/>
      </rPr>
      <t xml:space="preserve">common</t>
    </r>
    <r>
      <rPr>
        <sz val="9"/>
        <color rgb="FF595959"/>
        <rFont val="Noto Sans CJK SC"/>
        <family val="2"/>
      </rPr>
      <t xml:space="preserve">（対象言語に該当するもの）＋その言語のパック。</t>
    </r>
  </si>
  <si>
    <r>
      <rPr>
        <i val="true"/>
        <sz val="9"/>
        <color rgb="FF595959"/>
        <rFont val="Noto Sans CJK SC"/>
        <family val="2"/>
      </rPr>
      <t xml:space="preserve">実行</t>
    </r>
    <r>
      <rPr>
        <i val="true"/>
        <sz val="9"/>
        <color rgb="FF595959"/>
        <rFont val="Meiryo UI"/>
        <family val="0"/>
        <charset val="1"/>
      </rPr>
      <t xml:space="preserve">: python3 .claude/harness/harness.py &lt;</t>
    </r>
    <r>
      <rPr>
        <i val="true"/>
        <sz val="9"/>
        <color rgb="FF595959"/>
        <rFont val="Noto Sans CJK SC"/>
        <family val="2"/>
      </rPr>
      <t xml:space="preserve">コマンド</t>
    </r>
    <r>
      <rPr>
        <i val="true"/>
        <sz val="9"/>
        <color rgb="FF595959"/>
        <rFont val="Meiryo UI"/>
        <family val="0"/>
        <charset val="1"/>
      </rPr>
      <t xml:space="preserve">&gt;</t>
    </r>
    <r>
      <rPr>
        <i val="true"/>
        <sz val="9"/>
        <color rgb="FF595959"/>
        <rFont val="Noto Sans CJK SC"/>
        <family val="2"/>
      </rPr>
      <t xml:space="preserve">（</t>
    </r>
    <r>
      <rPr>
        <i val="true"/>
        <sz val="9"/>
        <color rgb="FF595959"/>
        <rFont val="Meiryo UI"/>
        <family val="0"/>
        <charset val="1"/>
      </rPr>
      <t xml:space="preserve">Windows </t>
    </r>
    <r>
      <rPr>
        <i val="true"/>
        <sz val="9"/>
        <color rgb="FF595959"/>
        <rFont val="Noto Sans CJK SC"/>
        <family val="2"/>
      </rPr>
      <t xml:space="preserve">は </t>
    </r>
    <r>
      <rPr>
        <i val="true"/>
        <sz val="9"/>
        <color rgb="FF595959"/>
        <rFont val="Meiryo UI"/>
        <family val="0"/>
        <charset val="1"/>
      </rPr>
      <t xml:space="preserve">python </t>
    </r>
    <r>
      <rPr>
        <i val="true"/>
        <sz val="9"/>
        <color rgb="FF595959"/>
        <rFont val="Noto Sans CJK SC"/>
        <family val="2"/>
      </rPr>
      <t xml:space="preserve">または </t>
    </r>
    <r>
      <rPr>
        <i val="true"/>
        <sz val="9"/>
        <color rgb="FF595959"/>
        <rFont val="Meiryo UI"/>
        <family val="0"/>
        <charset val="1"/>
      </rPr>
      <t xml:space="preserve">py</t>
    </r>
    <r>
      <rPr>
        <i val="true"/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</si>
  <si>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コマンド（</t>
    </r>
    <r>
      <rPr>
        <b val="true"/>
        <sz val="10"/>
        <color rgb="FFFFFFFF"/>
        <rFont val="Meiryo UI"/>
        <family val="0"/>
        <charset val="1"/>
      </rPr>
      <t xml:space="preserve">harness </t>
    </r>
    <r>
      <rPr>
        <b val="true"/>
        <sz val="10"/>
        <color rgb="FFFFFFFF"/>
        <rFont val="Noto Sans CJK SC"/>
        <family val="2"/>
      </rPr>
      <t xml:space="preserve">の後）</t>
    </r>
  </si>
  <si>
    <t xml:space="preserve">init [--mode strict|legacy] [--force]</t>
  </si>
  <si>
    <r>
      <rPr>
        <sz val="10"/>
        <rFont val="Noto Sans CJK SC"/>
        <family val="2"/>
      </rPr>
      <t xml:space="preserve">スタック検出 → </t>
    </r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生成</t>
    </r>
  </si>
  <si>
    <t xml:space="preserve">導入時</t>
  </si>
  <si>
    <t xml:space="preserve">status</t>
  </si>
  <si>
    <t xml:space="preserve">現在の工程と整合性サマリ</t>
  </si>
  <si>
    <t xml:space="preserve">随時</t>
  </si>
  <si>
    <t xml:space="preserve">check [--strict] [--changed REF]</t>
  </si>
  <si>
    <r>
      <rPr>
        <sz val="10"/>
        <rFont val="Meiryo UI"/>
        <family val="0"/>
        <charset val="1"/>
      </rPr>
      <t xml:space="preserve">trace</t>
    </r>
    <r>
      <rPr>
        <sz val="10"/>
        <rFont val="Noto Sans CJK SC"/>
        <family val="2"/>
      </rPr>
      <t xml:space="preserve">＋</t>
    </r>
    <r>
      <rPr>
        <sz val="10"/>
        <rFont val="Meiryo UI"/>
        <family val="0"/>
        <charset val="1"/>
      </rPr>
      <t xml:space="preserve">lint</t>
    </r>
    <r>
      <rPr>
        <sz val="10"/>
        <rFont val="Noto Sans CJK SC"/>
        <family val="2"/>
      </rPr>
      <t xml:space="preserve">＋依存方向の全検査（</t>
    </r>
    <r>
      <rPr>
        <sz val="10"/>
        <rFont val="Meiryo UI"/>
        <family val="0"/>
        <charset val="1"/>
      </rPr>
      <t xml:space="preserve">CI </t>
    </r>
    <r>
      <rPr>
        <sz val="10"/>
        <rFont val="Noto Sans CJK SC"/>
        <family val="2"/>
      </rPr>
      <t xml:space="preserve">用）</t>
    </r>
  </si>
  <si>
    <r>
      <rPr>
        <sz val="10"/>
        <rFont val="Noto Sans CJK SC"/>
        <family val="2"/>
      </rPr>
      <t xml:space="preserve">実装後・</t>
    </r>
    <r>
      <rPr>
        <sz val="10"/>
        <rFont val="Meiryo UI"/>
        <family val="0"/>
        <charset val="1"/>
      </rPr>
      <t xml:space="preserve">PR </t>
    </r>
    <r>
      <rPr>
        <sz val="10"/>
        <rFont val="Noto Sans CJK SC"/>
        <family val="2"/>
      </rPr>
      <t xml:space="preserve">前</t>
    </r>
  </si>
  <si>
    <t xml:space="preserve">lint &lt;file&gt;...</t>
  </si>
  <si>
    <t xml:space="preserve">指定ファイルの設計原則チェック</t>
  </si>
  <si>
    <t xml:space="preserve">実装中</t>
  </si>
  <si>
    <t xml:space="preserve">trace [--strict]</t>
  </si>
  <si>
    <t xml:space="preserve">要件⇄用語集⇄設計⇄コード⇄テストの整合性</t>
  </si>
  <si>
    <t xml:space="preserve">要件・モデル作成時</t>
  </si>
  <si>
    <t xml:space="preserve">verify</t>
  </si>
  <si>
    <r>
      <rPr>
        <sz val="10"/>
        <rFont val="Meiryo UI"/>
        <family val="0"/>
        <charset val="1"/>
      </rPr>
      <t xml:space="preserve">check --strict</t>
    </r>
    <r>
      <rPr>
        <sz val="10"/>
        <rFont val="Noto Sans CJK SC"/>
        <family val="2"/>
      </rPr>
      <t xml:space="preserve">＋各スタックのビルド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テスト → リリースゲート記録</t>
    </r>
  </si>
  <si>
    <t xml:space="preserve">リリース前</t>
  </si>
  <si>
    <t xml:space="preserve">overview</t>
  </si>
  <si>
    <r>
      <rPr>
        <sz val="10"/>
        <rFont val="Meiryo UI"/>
        <family val="0"/>
        <charset val="1"/>
      </rPr>
      <t xml:space="preserve">docs/overview.md</t>
    </r>
    <r>
      <rPr>
        <sz val="10"/>
        <rFont val="Noto Sans CJK SC"/>
        <family val="2"/>
      </rPr>
      <t xml:space="preserve">（モデル図・状態遷移・要件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テスト・進捗）を生成</t>
    </r>
  </si>
  <si>
    <t xml:space="preserve">報告・リリース前</t>
  </si>
  <si>
    <t xml:space="preserve">baseline</t>
  </si>
  <si>
    <r>
      <rPr>
        <sz val="10"/>
        <rFont val="Noto Sans CJK SC"/>
        <family val="2"/>
      </rPr>
      <t xml:space="preserve">現状の違反を </t>
    </r>
    <r>
      <rPr>
        <sz val="10"/>
        <rFont val="Meiryo UI"/>
        <family val="0"/>
        <charset val="1"/>
      </rPr>
      <t xml:space="preserve">.harness-baseline.json </t>
    </r>
    <r>
      <rPr>
        <sz val="10"/>
        <rFont val="Noto Sans CJK SC"/>
        <family val="2"/>
      </rPr>
      <t xml:space="preserve">に凍結</t>
    </r>
  </si>
  <si>
    <t xml:space="preserve">既存アプリ導入時</t>
  </si>
  <si>
    <t xml:space="preserve">scaffold-model</t>
  </si>
  <si>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の型を用語集に下書き登録（</t>
    </r>
    <r>
      <rPr>
        <sz val="10"/>
        <rFont val="Meiryo UI"/>
        <family val="0"/>
        <charset val="1"/>
      </rPr>
      <t xml:space="preserve">todo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</si>
  <si>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explain &lt;P</t>
    </r>
    <r>
      <rPr>
        <sz val="10"/>
        <rFont val="Noto Sans CJK SC"/>
        <family val="2"/>
      </rPr>
      <t xml:space="preserve">番号</t>
    </r>
    <r>
      <rPr>
        <sz val="10"/>
        <rFont val="Meiryo UI"/>
        <family val="0"/>
        <charset val="1"/>
      </rPr>
      <t xml:space="preserve">&gt;</t>
    </r>
  </si>
  <si>
    <t xml:space="preserve">原則の要約を表示</t>
  </si>
  <si>
    <t xml:space="preserve">指摘の意味を知りたいとき</t>
  </si>
  <si>
    <r>
      <rPr>
        <sz val="10"/>
        <rFont val="Noto Sans CJK SC"/>
        <family val="2"/>
      </rPr>
      <t xml:space="preserve">ルールパックの自己テスト（</t>
    </r>
    <r>
      <rPr>
        <sz val="10"/>
        <rFont val="Meiryo UI"/>
        <family val="0"/>
        <charset val="1"/>
      </rPr>
      <t xml:space="preserve">good/bad </t>
    </r>
    <r>
      <rPr>
        <sz val="10"/>
        <rFont val="Noto Sans CJK SC"/>
        <family val="2"/>
      </rPr>
      <t xml:space="preserve">フィクスチャ）</t>
    </r>
  </si>
  <si>
    <t xml:space="preserve">ルール追加・変更時</t>
  </si>
  <si>
    <t xml:space="preserve">hook &lt;session|pre|post|stop&gt;</t>
  </si>
  <si>
    <r>
      <rPr>
        <sz val="10"/>
        <rFont val="Meiryo UI"/>
        <family val="0"/>
        <charset val="1"/>
      </rPr>
      <t xml:space="preserve">Claude Code </t>
    </r>
    <r>
      <rPr>
        <sz val="10"/>
        <rFont val="Noto Sans CJK SC"/>
        <family val="2"/>
      </rPr>
      <t xml:space="preserve">フックの入口（手で実行しない）</t>
    </r>
  </si>
  <si>
    <r>
      <rPr>
        <i val="true"/>
        <sz val="9"/>
        <color rgb="FF595959"/>
        <rFont val="Noto Sans CJK SC"/>
        <family val="2"/>
      </rPr>
      <t xml:space="preserve">プロジェクト固有の値はルートの </t>
    </r>
    <r>
      <rPr>
        <i val="true"/>
        <sz val="9"/>
        <color rgb="FF595959"/>
        <rFont val="Meiryo UI"/>
        <family val="0"/>
        <charset val="1"/>
      </rPr>
      <t xml:space="preserve">harness.yaml </t>
    </r>
    <r>
      <rPr>
        <i val="true"/>
        <sz val="9"/>
        <color rgb="FF595959"/>
        <rFont val="Noto Sans CJK SC"/>
        <family val="2"/>
      </rPr>
      <t xml:space="preserve">に書く（</t>
    </r>
    <r>
      <rPr>
        <i val="true"/>
        <sz val="9"/>
        <color rgb="FF595959"/>
        <rFont val="Meiryo UI"/>
        <family val="0"/>
        <charset val="1"/>
      </rPr>
      <t xml:space="preserve">.claude/harness/defaults.yaml </t>
    </r>
    <r>
      <rPr>
        <i val="true"/>
        <sz val="9"/>
        <color rgb="FF595959"/>
        <rFont val="Noto Sans CJK SC"/>
        <family val="2"/>
      </rPr>
      <t xml:space="preserve">を上書き）</t>
    </r>
  </si>
  <si>
    <t xml:space="preserve">キー</t>
  </si>
  <si>
    <t xml:space="preserve">既定値</t>
  </si>
  <si>
    <t xml:space="preserve">languages</t>
  </si>
  <si>
    <t xml:space="preserve">有効な言語パック（空なら拡張子で自動判定）</t>
  </si>
  <si>
    <t xml:space="preserve">（空）</t>
  </si>
  <si>
    <t xml:space="preserve">docs</t>
  </si>
  <si>
    <r>
      <rPr>
        <sz val="10"/>
        <rFont val="Noto Sans CJK SC"/>
        <family val="2"/>
      </rPr>
      <t xml:space="preserve">要件・用語集・設計・</t>
    </r>
    <r>
      <rPr>
        <sz val="10"/>
        <rFont val="Meiryo UI"/>
        <family val="0"/>
        <charset val="1"/>
      </rPr>
      <t xml:space="preserve">ADR</t>
    </r>
    <r>
      <rPr>
        <sz val="10"/>
        <rFont val="Noto Sans CJK SC"/>
        <family val="2"/>
      </rPr>
      <t xml:space="preserve">・リリースノートの置き場所</t>
    </r>
  </si>
  <si>
    <t xml:space="preserve">requirements: docs/requirements, model: docs/model/domain.yaml, design: docs/design, adr: docs/adr, releases: docs/releases</t>
  </si>
  <si>
    <t xml:space="preserve">source.exclude_dirs</t>
  </si>
  <si>
    <t xml:space="preserve">検査対象外のディレクトリ</t>
  </si>
  <si>
    <t xml:space="preserve">node_modules, vendor, target, build, dist, out, bin, obj, .git, .venv, venv, env, __pycache__, .next, .nuxt, .gradle, .idea, .vscode, .claude, .harness, docs, coverage, tmp, log</t>
  </si>
  <si>
    <t xml:space="preserve">source.test_patterns</t>
  </si>
  <si>
    <t xml:space="preserve">テストファイルとみなすパターン</t>
  </si>
  <si>
    <t xml:space="preserve">**/test/**, **/tests/**, **/__tests__/**, **/spec/**, **/e2e/**, **/*_test.*, **/*_spec.*, **/*.test.*, **/*.spec.*, **/test_*.py, **/*Test.*, **/*Tests.*, **/*.Tests/**</t>
  </si>
  <si>
    <t xml:space="preserve">source.migration_patterns</t>
  </si>
  <si>
    <r>
      <rPr>
        <sz val="10"/>
        <rFont val="Noto Sans CJK SC"/>
        <family val="2"/>
      </rPr>
      <t xml:space="preserve">マイグレーション </t>
    </r>
    <r>
      <rPr>
        <sz val="10"/>
        <rFont val="Meiryo UI"/>
        <family val="0"/>
        <charset val="1"/>
      </rPr>
      <t xml:space="preserve">SQL </t>
    </r>
    <r>
      <rPr>
        <sz val="10"/>
        <rFont val="Noto Sans CJK SC"/>
        <family val="2"/>
      </rPr>
      <t xml:space="preserve">のパターン</t>
    </r>
  </si>
  <si>
    <t xml:space="preserve">**/migration/**/*.sql, **/migrations/**/*.sql, **/db/migrate/**/*.sql, **/schema*.sql</t>
  </si>
  <si>
    <t xml:space="preserve">architecture.layers</t>
  </si>
  <si>
    <r>
      <rPr>
        <sz val="10"/>
        <rFont val="Noto Sans CJK SC"/>
        <family val="2"/>
      </rPr>
      <t xml:space="preserve">レイヤ判定（ディレクトリ名 </t>
    </r>
    <r>
      <rPr>
        <sz val="10"/>
        <rFont val="Meiryo UI"/>
        <family val="0"/>
        <charset val="1"/>
      </rPr>
      <t xml:space="preserve">segments / glob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paths</t>
    </r>
    <r>
      <rPr>
        <sz val="10"/>
        <rFont val="Noto Sans CJK SC"/>
        <family val="2"/>
      </rPr>
      <t xml:space="preserve">）</t>
    </r>
  </si>
  <si>
    <t xml:space="preserve">domain: segments: domain, application: segments: application, usecase, usecases, use_cases, service, services, presentation: segments: presentation, controller, controllers, web…</t>
  </si>
  <si>
    <t xml:space="preserve">architecture.allowed</t>
  </si>
  <si>
    <t xml:space="preserve">レイヤ間で依存してよい方向</t>
  </si>
  <si>
    <r>
      <rPr>
        <sz val="10"/>
        <rFont val="Meiryo UI"/>
        <family val="0"/>
        <charset val="1"/>
      </rPr>
      <t xml:space="preserve">presentation: application, domain, application: domain, infrastructure: application, domain, domain: </t>
    </r>
    <r>
      <rPr>
        <sz val="10"/>
        <rFont val="Noto Sans CJK SC"/>
        <family val="2"/>
      </rPr>
      <t xml:space="preserve">（空）</t>
    </r>
  </si>
  <si>
    <t xml:space="preserve">architecture.internal_prefixes</t>
  </si>
  <si>
    <r>
      <rPr>
        <sz val="10"/>
        <rFont val="Noto Sans CJK SC"/>
        <family val="2"/>
      </rPr>
      <t xml:space="preserve">自プロジェクトの </t>
    </r>
    <r>
      <rPr>
        <sz val="10"/>
        <rFont val="Meiryo UI"/>
        <family val="0"/>
        <charset val="1"/>
      </rPr>
      <t xml:space="preserve">import </t>
    </r>
    <r>
      <rPr>
        <sz val="10"/>
        <rFont val="Noto Sans CJK SC"/>
        <family val="2"/>
      </rPr>
      <t xml:space="preserve">接頭辞（</t>
    </r>
    <r>
      <rPr>
        <sz val="10"/>
        <rFont val="Meiryo UI"/>
        <family val="0"/>
        <charset val="1"/>
      </rPr>
      <t xml:space="preserve">init </t>
    </r>
    <r>
      <rPr>
        <sz val="10"/>
        <rFont val="Noto Sans CJK SC"/>
        <family val="2"/>
      </rPr>
      <t xml:space="preserve">が検出）</t>
    </r>
  </si>
  <si>
    <t xml:space="preserve">architecture.aliases</t>
  </si>
  <si>
    <r>
      <rPr>
        <sz val="10"/>
        <rFont val="Meiryo UI"/>
        <family val="0"/>
        <charset val="1"/>
      </rPr>
      <t xml:space="preserve">import </t>
    </r>
    <r>
      <rPr>
        <sz val="10"/>
        <rFont val="Noto Sans CJK SC"/>
        <family val="2"/>
      </rPr>
      <t xml:space="preserve">エイリアス → 実パス（</t>
    </r>
    <r>
      <rPr>
        <sz val="10"/>
        <rFont val="Meiryo UI"/>
        <family val="0"/>
        <charset val="1"/>
      </rPr>
      <t xml:space="preserve">tsconfig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paths </t>
    </r>
    <r>
      <rPr>
        <sz val="10"/>
        <rFont val="Noto Sans CJK SC"/>
        <family val="2"/>
      </rPr>
      <t xml:space="preserve">から </t>
    </r>
    <r>
      <rPr>
        <sz val="10"/>
        <rFont val="Meiryo UI"/>
        <family val="0"/>
        <charset val="1"/>
      </rPr>
      <t xml:space="preserve">init </t>
    </r>
    <r>
      <rPr>
        <sz val="10"/>
        <rFont val="Noto Sans CJK SC"/>
        <family val="2"/>
      </rPr>
      <t xml:space="preserve">が検出）</t>
    </r>
  </si>
  <si>
    <t xml:space="preserve">source.gate_exempt_patterns</t>
  </si>
  <si>
    <r>
      <rPr>
        <sz val="10"/>
        <rFont val="Noto Sans CJK SC"/>
        <family val="2"/>
      </rPr>
      <t xml:space="preserve">工程ゲート・モデル先行・</t>
    </r>
    <r>
      <rPr>
        <sz val="10"/>
        <rFont val="Meiryo UI"/>
        <family val="0"/>
        <charset val="1"/>
      </rPr>
      <t xml:space="preserve">lint </t>
    </r>
    <r>
      <rPr>
        <sz val="10"/>
        <rFont val="Noto Sans CJK SC"/>
        <family val="2"/>
      </rPr>
      <t xml:space="preserve">の対象外（設定ファイル・スクリプト）</t>
    </r>
  </si>
  <si>
    <t xml:space="preserve">**/*.config.*, **/.*rc, **/.*rc.*, **/*.gradle.kts, **/*.d.ts, scripts/**, tools/**, **/scripts/**</t>
  </si>
  <si>
    <t xml:space="preserve">limits</t>
  </si>
  <si>
    <r>
      <rPr>
        <sz val="10"/>
        <rFont val="Noto Sans CJK SC"/>
        <family val="2"/>
      </rPr>
      <t xml:space="preserve">関数行数・ファイル行数・引数数・ネスト段数・</t>
    </r>
    <r>
      <rPr>
        <sz val="10"/>
        <rFont val="Meiryo UI"/>
        <family val="0"/>
        <charset val="1"/>
      </rPr>
      <t xml:space="preserve">getter </t>
    </r>
    <r>
      <rPr>
        <sz val="10"/>
        <rFont val="Noto Sans CJK SC"/>
        <family val="2"/>
      </rPr>
      <t xml:space="preserve">数などの閾値</t>
    </r>
  </si>
  <si>
    <t xml:space="preserve">function_lines: 20, file_lines: 200, app_file_lines: 120, getter_warn: 3, primitive_params_warn: 2, params_warn: 3, nesting_depth: 2, instance_vars: 99</t>
  </si>
  <si>
    <t xml:space="preserve">enforcement</t>
  </si>
  <si>
    <r>
      <rPr>
        <sz val="10"/>
        <rFont val="Noto Sans CJK SC"/>
        <family val="2"/>
      </rPr>
      <t xml:space="preserve">各ゲートの強さ（</t>
    </r>
    <r>
      <rPr>
        <sz val="10"/>
        <rFont val="Meiryo UI"/>
        <family val="0"/>
        <charset val="1"/>
      </rPr>
      <t xml:space="preserve">deny / ask / warn / off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lint </t>
    </r>
    <r>
      <rPr>
        <sz val="10"/>
        <rFont val="Noto Sans CJK SC"/>
        <family val="2"/>
      </rPr>
      <t xml:space="preserve">は </t>
    </r>
    <r>
      <rPr>
        <sz val="10"/>
        <rFont val="Meiryo UI"/>
        <family val="0"/>
        <charset val="1"/>
      </rPr>
      <t xml:space="preserve">block / warn</t>
    </r>
    <r>
      <rPr>
        <sz val="10"/>
        <rFont val="Noto Sans CJK SC"/>
        <family val="2"/>
      </rPr>
      <t xml:space="preserve">）。</t>
    </r>
    <r>
      <rPr>
        <sz val="10"/>
        <rFont val="Meiryo UI"/>
        <family val="0"/>
        <charset val="1"/>
      </rPr>
      <t xml:space="preserve">approval=</t>
    </r>
    <r>
      <rPr>
        <sz val="10"/>
        <rFont val="Noto Sans CJK SC"/>
        <family val="2"/>
      </rPr>
      <t xml:space="preserve">要件承認、</t>
    </r>
    <r>
      <rPr>
        <sz val="10"/>
        <rFont val="Meiryo UI"/>
        <family val="0"/>
        <charset val="1"/>
      </rPr>
      <t xml:space="preserve">bash_writes=Bash </t>
    </r>
    <r>
      <rPr>
        <sz val="10"/>
        <rFont val="Noto Sans CJK SC"/>
        <family val="2"/>
      </rPr>
      <t xml:space="preserve">での書き換え</t>
    </r>
  </si>
  <si>
    <t xml:space="preserve">phase_gate: deny, model_first: deny, protect: ask, release: deny, lint_errors: block, stop_check: block, approval: ask, bash_writes: deny</t>
  </si>
  <si>
    <t xml:space="preserve">profiles</t>
  </si>
  <si>
    <r>
      <rPr>
        <sz val="10"/>
        <rFont val="Noto Sans CJK SC"/>
        <family val="2"/>
      </rPr>
      <t xml:space="preserve">追加プロファイル（</t>
    </r>
    <r>
      <rPr>
        <sz val="10"/>
        <rFont val="Meiryo UI"/>
        <family val="0"/>
        <charset val="1"/>
      </rPr>
      <t xml:space="preserve">calisthenics = </t>
    </r>
    <r>
      <rPr>
        <sz val="10"/>
        <rFont val="Noto Sans CJK SC"/>
        <family val="2"/>
      </rPr>
      <t xml:space="preserve">過激なコーディング規則）</t>
    </r>
  </si>
  <si>
    <t xml:space="preserve">technical_package_names</t>
  </si>
  <si>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配下で禁止する技術種別パッケージ名</t>
    </r>
  </si>
  <si>
    <t xml:space="preserve">dto, dtos, entity, entities, model, models, vo, vos, bean, beans, util, utils, helper, helpers, common, constant, constants, enum, enums, type, types, interface, interfaces, imp…</t>
  </si>
  <si>
    <t xml:space="preserve">principles.disabled</t>
  </si>
  <si>
    <r>
      <rPr>
        <sz val="10"/>
        <rFont val="Noto Sans CJK SC"/>
        <family val="2"/>
      </rPr>
      <t xml:space="preserve">適用しない原則（</t>
    </r>
    <r>
      <rPr>
        <sz val="10"/>
        <rFont val="Meiryo UI"/>
        <family val="0"/>
        <charset val="1"/>
      </rPr>
      <t xml:space="preserve">DB </t>
    </r>
    <r>
      <rPr>
        <sz val="10"/>
        <rFont val="Noto Sans CJK SC"/>
        <family val="2"/>
      </rPr>
      <t xml:space="preserve">無しなら </t>
    </r>
    <r>
      <rPr>
        <sz val="10"/>
        <rFont val="Meiryo UI"/>
        <family val="0"/>
        <charset val="1"/>
      </rPr>
      <t xml:space="preserve">P17–P19 </t>
    </r>
    <r>
      <rPr>
        <sz val="10"/>
        <rFont val="Noto Sans CJK SC"/>
        <family val="2"/>
      </rPr>
      <t xml:space="preserve">など）</t>
    </r>
  </si>
  <si>
    <t xml:space="preserve">glossary.allow_names</t>
  </si>
  <si>
    <r>
      <rPr>
        <sz val="10"/>
        <rFont val="Noto Sans CJK SC"/>
        <family val="2"/>
      </rPr>
      <t xml:space="preserve">用語集外でも </t>
    </r>
    <r>
      <rPr>
        <sz val="10"/>
        <rFont val="Meiryo UI"/>
        <family val="0"/>
        <charset val="1"/>
      </rPr>
      <t xml:space="preserve">domain </t>
    </r>
    <r>
      <rPr>
        <sz val="10"/>
        <rFont val="Noto Sans CJK SC"/>
        <family val="2"/>
      </rPr>
      <t xml:space="preserve">に置ける型名</t>
    </r>
  </si>
  <si>
    <t xml:space="preserve">glossary.allow_suffixes</t>
  </si>
  <si>
    <r>
      <rPr>
        <sz val="10"/>
        <rFont val="Meiryo UI"/>
        <family val="0"/>
        <charset val="1"/>
      </rPr>
      <t xml:space="preserve">&lt;</t>
    </r>
    <r>
      <rPr>
        <sz val="10"/>
        <rFont val="Noto Sans CJK SC"/>
        <family val="2"/>
      </rPr>
      <t xml:space="preserve">用語</t>
    </r>
    <r>
      <rPr>
        <sz val="10"/>
        <rFont val="Meiryo UI"/>
        <family val="0"/>
        <charset val="1"/>
      </rPr>
      <t xml:space="preserve">&gt;+</t>
    </r>
    <r>
      <rPr>
        <sz val="10"/>
        <rFont val="Noto Sans CJK SC"/>
        <family val="2"/>
      </rPr>
      <t xml:space="preserve">接尾辞 を許可（</t>
    </r>
    <r>
      <rPr>
        <sz val="10"/>
        <rFont val="Meiryo UI"/>
        <family val="0"/>
        <charset val="1"/>
      </rPr>
      <t xml:space="preserve">Repository </t>
    </r>
    <r>
      <rPr>
        <sz val="10"/>
        <rFont val="Noto Sans CJK SC"/>
        <family val="2"/>
      </rPr>
      <t xml:space="preserve">等）</t>
    </r>
  </si>
  <si>
    <t xml:space="preserve">Repository, Factory, Exception, Error, Id</t>
  </si>
  <si>
    <t xml:space="preserve">verify.steps</t>
  </si>
  <si>
    <r>
      <rPr>
        <sz val="10"/>
        <rFont val="Meiryo UI"/>
        <family val="0"/>
        <charset val="1"/>
      </rPr>
      <t xml:space="preserve">verify </t>
    </r>
    <r>
      <rPr>
        <sz val="10"/>
        <rFont val="Noto Sans CJK SC"/>
        <family val="2"/>
      </rPr>
      <t xml:space="preserve">で実行するビルド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テスト（</t>
    </r>
    <r>
      <rPr>
        <sz val="10"/>
        <rFont val="Meiryo UI"/>
        <family val="0"/>
        <charset val="1"/>
      </rPr>
      <t xml:space="preserve">init </t>
    </r>
    <r>
      <rPr>
        <sz val="10"/>
        <rFont val="Noto Sans CJK SC"/>
        <family val="2"/>
      </rPr>
      <t xml:space="preserve">が生成）</t>
    </r>
  </si>
  <si>
    <t xml:space="preserve">protected</t>
  </si>
  <si>
    <t xml:space="preserve">変更時にユーザー確認を求めるハーネス自身のファイル</t>
  </si>
  <si>
    <t xml:space="preserve">.claude/harness/, .claude/settings.json, harness.yaml, docs/principles.md, .github/workflows/, .harness-baseline.json</t>
  </si>
  <si>
    <r>
      <rPr>
        <i val="true"/>
        <sz val="9"/>
        <color rgb="FF595959"/>
        <rFont val="Noto Sans CJK SC"/>
        <family val="2"/>
      </rPr>
      <t xml:space="preserve">凡例</t>
    </r>
    <r>
      <rPr>
        <i val="true"/>
        <sz val="9"/>
        <color rgb="FF595959"/>
        <rFont val="Meiryo UI"/>
        <family val="0"/>
        <charset val="1"/>
      </rPr>
      <t xml:space="preserve">: P=</t>
    </r>
    <r>
      <rPr>
        <i val="true"/>
        <sz val="9"/>
        <color rgb="FF595959"/>
        <rFont val="Noto Sans CJK SC"/>
        <family val="2"/>
      </rPr>
      <t xml:space="preserve">原則 </t>
    </r>
    <r>
      <rPr>
        <i val="true"/>
        <sz val="9"/>
        <color rgb="FF595959"/>
        <rFont val="Meiryo UI"/>
        <family val="0"/>
        <charset val="1"/>
      </rPr>
      <t xml:space="preserve">/ L=lint </t>
    </r>
    <r>
      <rPr>
        <i val="true"/>
        <sz val="9"/>
        <color rgb="FF595959"/>
        <rFont val="Noto Sans CJK SC"/>
        <family val="2"/>
      </rPr>
      <t xml:space="preserve">ルール</t>
    </r>
    <r>
      <rPr>
        <i val="true"/>
        <sz val="9"/>
        <color rgb="FF595959"/>
        <rFont val="Meiryo UI"/>
        <family val="0"/>
        <charset val="1"/>
      </rPr>
      <t xml:space="preserve">ID / T=trace / G=gate / /=</t>
    </r>
    <r>
      <rPr>
        <i val="true"/>
        <sz val="9"/>
        <color rgb="FF595959"/>
        <rFont val="Noto Sans CJK SC"/>
        <family val="2"/>
      </rPr>
      <t xml:space="preserve">スキル </t>
    </r>
    <r>
      <rPr>
        <i val="true"/>
        <sz val="9"/>
        <color rgb="FF595959"/>
        <rFont val="Meiryo UI"/>
        <family val="0"/>
        <charset val="1"/>
      </rPr>
      <t xml:space="preserve">/ @=</t>
    </r>
    <r>
      <rPr>
        <i val="true"/>
        <sz val="9"/>
        <color rgb="FF595959"/>
        <rFont val="Noto Sans CJK SC"/>
        <family val="2"/>
      </rPr>
      <t xml:space="preserve">エージェント </t>
    </r>
    <r>
      <rPr>
        <i val="true"/>
        <sz val="9"/>
        <color rgb="FF595959"/>
        <rFont val="Meiryo UI"/>
        <family val="0"/>
        <charset val="1"/>
      </rPr>
      <t xml:space="preserve">/ tpl=</t>
    </r>
    <r>
      <rPr>
        <i val="true"/>
        <sz val="9"/>
        <color rgb="FF595959"/>
        <rFont val="Noto Sans CJK SC"/>
        <family val="2"/>
      </rPr>
      <t xml:space="preserve">テンプレート</t>
    </r>
  </si>
  <si>
    <t xml:space="preserve">目次の項目</t>
  </si>
  <si>
    <t xml:space="preserve">ハーネスでの対応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</si>
  <si>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章 小さくまとめてわかりやすくする</t>
    </r>
  </si>
  <si>
    <t xml:space="preserve">変更が大変なプログラムの特徴（長いメソッド・大きいクラス・多い引数）</t>
  </si>
  <si>
    <t xml:space="preserve">P02 P25 / L builtin.function-length builtin.file-length builtin.too-many-params</t>
  </si>
  <si>
    <t xml:space="preserve">変更するたびに変更が大変になる</t>
  </si>
  <si>
    <t xml:space="preserve">P35 / /refactor</t>
  </si>
  <si>
    <r>
      <rPr>
        <sz val="10"/>
        <rFont val="Noto Sans CJK SC"/>
        <family val="2"/>
      </rPr>
      <t xml:space="preserve">わかりやすい名前を使う（</t>
    </r>
    <r>
      <rPr>
        <sz val="10"/>
        <rFont val="Meiryo UI"/>
        <family val="0"/>
        <charset val="1"/>
      </rPr>
      <t xml:space="preserve">a → qty → quantity</t>
    </r>
    <r>
      <rPr>
        <sz val="10"/>
        <rFont val="Noto Sans CJK SC"/>
        <family val="2"/>
      </rPr>
      <t xml:space="preserve">）</t>
    </r>
  </si>
  <si>
    <t xml:space="preserve">P01 / L common.abbreviation common.single-letter builtin.vague-name</t>
  </si>
  <si>
    <t xml:space="preserve">長いメソッドを「段落」に分ける・目的ごとに変数・メソッドとして独立</t>
  </si>
  <si>
    <r>
      <rPr>
        <sz val="10"/>
        <rFont val="Meiryo UI"/>
        <family val="0"/>
        <charset val="1"/>
      </rPr>
      <t xml:space="preserve">P02 / /refactor </t>
    </r>
    <r>
      <rPr>
        <sz val="10"/>
        <rFont val="Noto Sans CJK SC"/>
        <family val="2"/>
      </rPr>
      <t xml:space="preserve">段階</t>
    </r>
    <r>
      <rPr>
        <sz val="10"/>
        <rFont val="Meiryo UI"/>
        <family val="0"/>
        <charset val="1"/>
      </rPr>
      <t xml:space="preserve">2 / L builtin.function-length</t>
    </r>
  </si>
  <si>
    <r>
      <rPr>
        <sz val="10"/>
        <rFont val="Noto Sans CJK SC"/>
        <family val="2"/>
      </rPr>
      <t xml:space="preserve">送料 </t>
    </r>
    <r>
      <rPr>
        <sz val="10"/>
        <rFont val="Meiryo UI"/>
        <family val="0"/>
        <charset val="1"/>
      </rPr>
      <t xml:space="preserve">500 </t>
    </r>
    <r>
      <rPr>
        <sz val="10"/>
        <rFont val="Noto Sans CJK SC"/>
        <family val="2"/>
      </rPr>
      <t xml:space="preserve">のような埋め込み値</t>
    </r>
  </si>
  <si>
    <t xml:space="preserve">P02 / L common.magic-number</t>
  </si>
  <si>
    <t xml:space="preserve">異なるクラスの重複したコードをなくす</t>
  </si>
  <si>
    <r>
      <rPr>
        <sz val="10"/>
        <rFont val="Meiryo UI"/>
        <family val="0"/>
        <charset val="1"/>
      </rPr>
      <t xml:space="preserve">P03 / @design-reviewer / /refactor </t>
    </r>
    <r>
      <rPr>
        <sz val="10"/>
        <rFont val="Noto Sans CJK SC"/>
        <family val="2"/>
      </rPr>
      <t xml:space="preserve">段階</t>
    </r>
    <r>
      <rPr>
        <sz val="10"/>
        <rFont val="Meiryo UI"/>
        <family val="0"/>
        <charset val="1"/>
      </rPr>
      <t xml:space="preserve">9</t>
    </r>
  </si>
  <si>
    <t xml:space="preserve">狭い関心事に特化したクラス・小さなクラス</t>
  </si>
  <si>
    <t xml:space="preserve">P02 / L builtin.file-length</t>
  </si>
  <si>
    <r>
      <rPr>
        <sz val="10"/>
        <rFont val="Noto Sans CJK SC"/>
        <family val="2"/>
      </rPr>
      <t xml:space="preserve">基本データ型の落とし穴・業務上の桁数・値の範囲（電話番号は </t>
    </r>
    <r>
      <rPr>
        <sz val="10"/>
        <rFont val="Meiryo UI"/>
        <family val="0"/>
        <charset val="1"/>
      </rPr>
      <t xml:space="preserve">String </t>
    </r>
    <r>
      <rPr>
        <sz val="10"/>
        <rFont val="Noto Sans CJK SC"/>
        <family val="2"/>
      </rPr>
      <t xml:space="preserve">ではない）</t>
    </r>
  </si>
  <si>
    <r>
      <rPr>
        <sz val="10"/>
        <rFont val="Meiryo UI"/>
        <family val="0"/>
        <charset val="1"/>
      </rPr>
      <t xml:space="preserve">P05 P07 / L builtin.primitive-params ts.any python.dict-domain / T </t>
    </r>
    <r>
      <rPr>
        <sz val="10"/>
        <rFont val="Noto Sans CJK SC"/>
        <family val="2"/>
      </rPr>
      <t xml:space="preserve">値の </t>
    </r>
    <r>
      <rPr>
        <sz val="10"/>
        <rFont val="Meiryo UI"/>
        <family val="0"/>
        <charset val="1"/>
      </rPr>
      <t xml:space="preserve">invariants</t>
    </r>
  </si>
  <si>
    <t xml:space="preserve">値を扱う専用クラス・値オブジェクトは不変</t>
  </si>
  <si>
    <t xml:space="preserve">P05 P06 / L *.mutable-* *.setter / references/patterns-*.md</t>
  </si>
  <si>
    <t xml:space="preserve">型を使って安全にする・複雑さを閉じ込める</t>
  </si>
  <si>
    <t xml:space="preserve">P05 P13</t>
  </si>
  <si>
    <t xml:space="preserve">配列やコレクションを専用クラスに閉じ込める・コレクションは業務の関心事</t>
  </si>
  <si>
    <t xml:space="preserve">P08 / L java.raw-collection-field / T kind: collection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</si>
  <si>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章 場合分けのロジックを整理する</t>
    </r>
  </si>
  <si>
    <t xml:space="preserve">区分や種別がコードを複雑にする</t>
  </si>
  <si>
    <t xml:space="preserve">P09 / L *.kubun-branch</t>
  </si>
  <si>
    <t xml:space="preserve">判断や処理のロジックをメソッドに独立させる</t>
  </si>
  <si>
    <t xml:space="preserve">P11 P26</t>
  </si>
  <si>
    <r>
      <rPr>
        <sz val="10"/>
        <rFont val="Meiryo UI"/>
        <family val="0"/>
        <charset val="1"/>
      </rPr>
      <t xml:space="preserve">else </t>
    </r>
    <r>
      <rPr>
        <sz val="10"/>
        <rFont val="Noto Sans CJK SC"/>
        <family val="2"/>
      </rPr>
      <t xml:space="preserve">句をなくす（早期リターン）</t>
    </r>
  </si>
  <si>
    <r>
      <rPr>
        <sz val="10"/>
        <rFont val="Meiryo UI"/>
        <family val="0"/>
        <charset val="1"/>
      </rPr>
      <t xml:space="preserve">P26 / L common.else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calisthenics </t>
    </r>
    <r>
      <rPr>
        <sz val="10"/>
        <rFont val="Noto Sans CJK SC"/>
        <family val="2"/>
      </rPr>
      <t xml:space="preserve">でエラー）</t>
    </r>
  </si>
  <si>
    <t xml:space="preserve">複文は単文に分ける</t>
  </si>
  <si>
    <t xml:space="preserve">P26 / L common.compound-condition builtin.nesting</t>
  </si>
  <si>
    <t xml:space="preserve">区分ごとのロジックを別クラスに・同じ型として扱う・インスタンス生成</t>
  </si>
  <si>
    <r>
      <rPr>
        <sz val="10"/>
        <rFont val="Meiryo UI"/>
        <family val="0"/>
        <charset val="1"/>
      </rPr>
      <t xml:space="preserve">P09 / patterns.md</t>
    </r>
    <r>
      <rPr>
        <sz val="10"/>
        <rFont val="Noto Sans CJK SC"/>
        <family val="2"/>
      </rPr>
      <t xml:space="preserve">「場合分け」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各言語 </t>
    </r>
    <r>
      <rPr>
        <sz val="10"/>
        <rFont val="Meiryo UI"/>
        <family val="0"/>
        <charset val="1"/>
      </rPr>
      <t xml:space="preserve">patterns </t>
    </r>
    <r>
      <rPr>
        <sz val="10"/>
        <rFont val="Noto Sans CJK SC"/>
        <family val="2"/>
      </rPr>
      <t xml:space="preserve">の区分</t>
    </r>
  </si>
  <si>
    <r>
      <rPr>
        <sz val="10"/>
        <rFont val="Meiryo UI"/>
        <family val="0"/>
        <charset val="1"/>
      </rPr>
      <t xml:space="preserve">enum </t>
    </r>
    <r>
      <rPr>
        <sz val="10"/>
        <rFont val="Noto Sans CJK SC"/>
        <family val="2"/>
      </rPr>
      <t xml:space="preserve">を使う・区分オブジェクトで分析し整理する</t>
    </r>
  </si>
  <si>
    <r>
      <rPr>
        <sz val="10"/>
        <rFont val="Meiryo UI"/>
        <family val="0"/>
        <charset val="1"/>
      </rPr>
      <t xml:space="preserve">P09 / T kind: kubun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values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behaviors </t>
    </r>
    <r>
      <rPr>
        <sz val="10"/>
        <rFont val="Noto Sans CJK SC"/>
        <family val="2"/>
      </rPr>
      <t xml:space="preserve">必須）</t>
    </r>
  </si>
  <si>
    <t xml:space="preserve">状態の遷移ルールをわかりやすく記述する</t>
  </si>
  <si>
    <r>
      <rPr>
        <sz val="10"/>
        <rFont val="Meiryo UI"/>
        <family val="0"/>
        <charset val="1"/>
      </rPr>
      <t xml:space="preserve">P10 / T kind: state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transitions </t>
    </r>
    <r>
      <rPr>
        <sz val="10"/>
        <rFont val="Noto Sans CJK SC"/>
        <family val="2"/>
      </rPr>
      <t xml:space="preserve">検査）</t>
    </r>
    <r>
      <rPr>
        <sz val="10"/>
        <rFont val="Meiryo UI"/>
        <family val="0"/>
        <charset val="1"/>
      </rPr>
      <t xml:space="preserve">/ overview </t>
    </r>
    <r>
      <rPr>
        <sz val="10"/>
        <rFont val="Noto Sans CJK SC"/>
        <family val="2"/>
      </rPr>
      <t xml:space="preserve">の状態遷移図</t>
    </r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</si>
  <si>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章 業務ロジックをわかりやすく整理する</t>
    </r>
  </si>
  <si>
    <t xml:space="preserve">データとロジックを別クラスに分けることがわかりにくさを生む・データクラスの問題</t>
  </si>
  <si>
    <t xml:space="preserve">P04 P12 / L *.getters *.setter</t>
  </si>
  <si>
    <t xml:space="preserve">共通機能ライブラリが失敗する理由</t>
  </si>
  <si>
    <r>
      <rPr>
        <sz val="10"/>
        <rFont val="Meiryo UI"/>
        <family val="0"/>
        <charset val="1"/>
      </rPr>
      <t xml:space="preserve">P03 / L builtin.vague-name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Util/Helper/Common</t>
    </r>
    <r>
      <rPr>
        <sz val="10"/>
        <rFont val="Noto Sans CJK SC"/>
        <family val="2"/>
      </rPr>
      <t xml:space="preserve">）</t>
    </r>
  </si>
  <si>
    <t xml:space="preserve">データとロジックを一体に・メソッドをロジックの置き場所に・データを持つクラスへ移動</t>
  </si>
  <si>
    <r>
      <rPr>
        <sz val="10"/>
        <rFont val="Meiryo UI"/>
        <family val="0"/>
        <charset val="1"/>
      </rPr>
      <t xml:space="preserve">P04 / L common.app-calculation ts.domain-function go.func-on-domain-type / /refactor </t>
    </r>
    <r>
      <rPr>
        <sz val="10"/>
        <rFont val="Noto Sans CJK SC"/>
        <family val="2"/>
      </rPr>
      <t xml:space="preserve">段階</t>
    </r>
    <r>
      <rPr>
        <sz val="10"/>
        <rFont val="Meiryo UI"/>
        <family val="0"/>
        <charset val="1"/>
      </rPr>
      <t xml:space="preserve">8</t>
    </r>
  </si>
  <si>
    <t xml:space="preserve">使う側のクラスに業務ロジックを書き始めたら設計を見直す</t>
  </si>
  <si>
    <t xml:space="preserve">P04 / L common.app-calculation common.ui-calculation</t>
  </si>
  <si>
    <t xml:space="preserve">メソッドを短く書くとロジックの移動がやりやすくなる</t>
  </si>
  <si>
    <r>
      <rPr>
        <sz val="10"/>
        <rFont val="Meiryo UI"/>
        <family val="0"/>
        <charset val="1"/>
      </rPr>
      <t xml:space="preserve">P02 / /refactor </t>
    </r>
    <r>
      <rPr>
        <sz val="10"/>
        <rFont val="Noto Sans CJK SC"/>
        <family val="2"/>
      </rPr>
      <t xml:space="preserve">の順序</t>
    </r>
  </si>
  <si>
    <t xml:space="preserve">メソッドは必ずインスタンス変数を使う</t>
  </si>
  <si>
    <t xml:space="preserve">P27 / L *.static-method python.staticmethod ruby.class-method kotlin.top-level-fun</t>
  </si>
  <si>
    <t xml:space="preserve">クラスが肥大化したら小さく分ける</t>
  </si>
  <si>
    <t xml:space="preserve">パッケージを使ってクラスを整理する</t>
  </si>
  <si>
    <t xml:space="preserve">P28 / L builtin.package-by-type</t>
  </si>
  <si>
    <t xml:space="preserve">三層の関心事と業務ロジックの分離・三層＋ドメインモデル</t>
  </si>
  <si>
    <r>
      <rPr>
        <sz val="10"/>
        <rFont val="Meiryo UI"/>
        <family val="0"/>
        <charset val="1"/>
      </rPr>
      <t xml:space="preserve">P15 P16 / </t>
    </r>
    <r>
      <rPr>
        <sz val="10"/>
        <rFont val="Noto Sans CJK SC"/>
        <family val="2"/>
      </rPr>
      <t xml:space="preserve">依存方向チェック（全言語）</t>
    </r>
    <r>
      <rPr>
        <sz val="10"/>
        <rFont val="Meiryo UI"/>
        <family val="0"/>
        <charset val="1"/>
      </rPr>
      <t xml:space="preserve">/ adapters</t>
    </r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</si>
  <si>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章 ドメインモデルの考え方で設計する</t>
    </r>
  </si>
  <si>
    <t xml:space="preserve">利用者の関心事とプログラミング単位を一致・分析クラスと設計クラスを一致</t>
  </si>
  <si>
    <r>
      <rPr>
        <sz val="10"/>
        <rFont val="Meiryo UI"/>
        <family val="0"/>
        <charset val="1"/>
      </rPr>
      <t xml:space="preserve">P22 P23 / G </t>
    </r>
    <r>
      <rPr>
        <sz val="10"/>
        <rFont val="Noto Sans CJK SC"/>
        <family val="2"/>
      </rPr>
      <t xml:space="preserve">モデル先行（用語集に無い型は作れない）</t>
    </r>
    <r>
      <rPr>
        <sz val="10"/>
        <rFont val="Meiryo UI"/>
        <family val="0"/>
        <charset val="1"/>
      </rPr>
      <t xml:space="preserve">/ T </t>
    </r>
    <r>
      <rPr>
        <sz val="10"/>
        <rFont val="Noto Sans CJK SC"/>
        <family val="2"/>
      </rPr>
      <t xml:space="preserve">コード⇄用語集</t>
    </r>
  </si>
  <si>
    <t xml:space="preserve">業務に使っている用語をクラス名にする</t>
  </si>
  <si>
    <r>
      <rPr>
        <sz val="10"/>
        <rFont val="Meiryo UI"/>
        <family val="0"/>
        <charset val="1"/>
      </rPr>
      <t xml:space="preserve">P23 / G / T </t>
    </r>
    <r>
      <rPr>
        <sz val="10"/>
        <rFont val="Noto Sans CJK SC"/>
        <family val="2"/>
      </rPr>
      <t xml:space="preserve">用語ドリフト（</t>
    </r>
    <r>
      <rPr>
        <sz val="10"/>
        <rFont val="Meiryo UI"/>
        <family val="0"/>
        <charset val="1"/>
      </rPr>
      <t xml:space="preserve">avoid</t>
    </r>
    <r>
      <rPr>
        <sz val="10"/>
        <rFont val="Noto Sans CJK SC"/>
        <family val="2"/>
      </rPr>
      <t xml:space="preserve">）</t>
    </r>
  </si>
  <si>
    <t xml:space="preserve">データモデルではなくオブジェクトモデル・手続き型になる理由</t>
  </si>
  <si>
    <r>
      <rPr>
        <sz val="10"/>
        <rFont val="Meiryo UI"/>
        <family val="0"/>
        <charset val="1"/>
      </rPr>
      <t xml:space="preserve">P29 / /p2-model </t>
    </r>
    <r>
      <rPr>
        <sz val="10"/>
        <rFont val="Noto Sans CJK SC"/>
        <family val="2"/>
      </rPr>
      <t xml:space="preserve">見つけ方</t>
    </r>
  </si>
  <si>
    <t xml:space="preserve">部分を作りながら全体を組み立てる・全体と部分を行き来・重要な部分から</t>
  </si>
  <si>
    <t xml:space="preserve">P22 / /p2-model / /domain-discovery §2</t>
  </si>
  <si>
    <t xml:space="preserve">独立した部品を組み合わせる・機能の一部として設計しない</t>
  </si>
  <si>
    <t xml:space="preserve">P29 / /p2-model</t>
  </si>
  <si>
    <r>
      <rPr>
        <sz val="10"/>
        <rFont val="Noto Sans CJK SC"/>
        <family val="2"/>
      </rPr>
      <t xml:space="preserve">重要な関心事や関係性・業務の関心事を分類・ヒト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モノ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コト</t>
    </r>
  </si>
  <si>
    <r>
      <rPr>
        <sz val="10"/>
        <rFont val="Meiryo UI"/>
        <family val="0"/>
        <charset val="1"/>
      </rPr>
      <t xml:space="preserve">P29 / T category / overview </t>
    </r>
    <r>
      <rPr>
        <sz val="10"/>
        <rFont val="Noto Sans CJK SC"/>
        <family val="2"/>
      </rPr>
      <t xml:space="preserve">のモデル図 </t>
    </r>
    <r>
      <rPr>
        <sz val="10"/>
        <rFont val="Meiryo UI"/>
        <family val="0"/>
        <charset val="1"/>
      </rPr>
      <t xml:space="preserve">/ /domain-discovery §3</t>
    </r>
  </si>
  <si>
    <r>
      <rPr>
        <sz val="10"/>
        <rFont val="Noto Sans CJK SC"/>
        <family val="2"/>
      </rPr>
      <t xml:space="preserve">コトは業務ルールの宝庫・何でも約束してよいわけではない・期待されるコト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されていないコト</t>
    </r>
  </si>
  <si>
    <r>
      <rPr>
        <sz val="10"/>
        <rFont val="Meiryo UI"/>
        <family val="0"/>
        <charset val="1"/>
      </rPr>
      <t xml:space="preserve">P29 / T promises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do/dont</t>
    </r>
    <r>
      <rPr>
        <sz val="10"/>
        <rFont val="Noto Sans CJK SC"/>
        <family val="2"/>
      </rPr>
      <t xml:space="preserve">）</t>
    </r>
    <r>
      <rPr>
        <sz val="10"/>
        <rFont val="Meiryo UI"/>
        <family val="0"/>
        <charset val="1"/>
      </rPr>
      <t xml:space="preserve">/ overview</t>
    </r>
    <r>
      <rPr>
        <sz val="10"/>
        <rFont val="Noto Sans CJK SC"/>
        <family val="2"/>
      </rPr>
      <t xml:space="preserve">「コトと約束」</t>
    </r>
  </si>
  <si>
    <t xml:space="preserve">トランザクションスクリプトになりがち</t>
  </si>
  <si>
    <r>
      <rPr>
        <sz val="10"/>
        <rFont val="Meiryo UI"/>
        <family val="0"/>
        <charset val="1"/>
      </rPr>
      <t xml:space="preserve">P15 / /p2-model </t>
    </r>
    <r>
      <rPr>
        <sz val="10"/>
        <rFont val="Noto Sans CJK SC"/>
        <family val="2"/>
      </rPr>
      <t xml:space="preserve">迷ったとき </t>
    </r>
    <r>
      <rPr>
        <sz val="10"/>
        <rFont val="Meiryo UI"/>
        <family val="0"/>
        <charset val="1"/>
      </rPr>
      <t xml:space="preserve">/ L common.app-calculation</t>
    </r>
  </si>
  <si>
    <t xml:space="preserve">段階的に改善する・業務の言葉とコードの一致</t>
  </si>
  <si>
    <t xml:space="preserve">P22 P23 P35</t>
  </si>
  <si>
    <t xml:space="preserve">業務を学びながら成長させる・取捨選択・暗黙知を引き出す・言葉をキャッチ</t>
  </si>
  <si>
    <r>
      <rPr>
        <sz val="10"/>
        <rFont val="Meiryo UI"/>
        <family val="0"/>
        <charset val="1"/>
      </rPr>
      <t xml:space="preserve">/domain-discovery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§1 §2 §4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references/questions.md</t>
    </r>
    <r>
      <rPr>
        <sz val="10"/>
        <rFont val="Noto Sans CJK SC"/>
        <family val="2"/>
      </rPr>
      <t xml:space="preserve">）</t>
    </r>
  </si>
  <si>
    <t xml:space="preserve">形式的な資料はかえって危険</t>
  </si>
  <si>
    <t xml:space="preserve">/domain-discovery §6</t>
  </si>
  <si>
    <t xml:space="preserve">言葉のあいまいさを具体的にする</t>
  </si>
  <si>
    <r>
      <rPr>
        <sz val="10"/>
        <rFont val="Meiryo UI"/>
        <family val="0"/>
        <charset val="1"/>
      </rPr>
      <t xml:space="preserve">P23 / /domain-discovery §5 / /p1-req </t>
    </r>
    <r>
      <rPr>
        <sz val="10"/>
        <rFont val="Noto Sans CJK SC"/>
        <family val="2"/>
      </rPr>
      <t xml:space="preserve">手順</t>
    </r>
    <r>
      <rPr>
        <sz val="10"/>
        <rFont val="Meiryo UI"/>
        <family val="0"/>
        <charset val="1"/>
      </rPr>
      <t xml:space="preserve">6</t>
    </r>
  </si>
  <si>
    <t xml:space="preserve">基本語彙を増やす</t>
  </si>
  <si>
    <t xml:space="preserve">/domain-discovery references/vocabulary.md</t>
  </si>
  <si>
    <t xml:space="preserve">繰り返しながら知識を広げる・改善を続ける</t>
  </si>
  <si>
    <t xml:space="preserve">P22 P35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</si>
  <si>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章 アプリケーション機能を組み立てる</t>
    </r>
  </si>
  <si>
    <t xml:space="preserve">アプリケーション層の役割・三層＋ドメインモデルの実装</t>
  </si>
  <si>
    <r>
      <rPr>
        <sz val="10"/>
        <rFont val="Meiryo UI"/>
        <family val="0"/>
        <charset val="1"/>
      </rPr>
      <t xml:space="preserve">P15 P16 / </t>
    </r>
    <r>
      <rPr>
        <sz val="10"/>
        <rFont val="Noto Sans CJK SC"/>
        <family val="2"/>
      </rPr>
      <t xml:space="preserve">依存方向チェック</t>
    </r>
  </si>
  <si>
    <t xml:space="preserve">サービスクラスはごちゃごちゃしやすい・作りながらドメインモデルを改善・育てる</t>
  </si>
  <si>
    <r>
      <rPr>
        <sz val="10"/>
        <rFont val="Meiryo UI"/>
        <family val="0"/>
        <charset val="1"/>
      </rPr>
      <t xml:space="preserve">P15 / /p3-design </t>
    </r>
    <r>
      <rPr>
        <sz val="10"/>
        <rFont val="Noto Sans CJK SC"/>
        <family val="2"/>
      </rPr>
      <t xml:space="preserve">シナリオ節 </t>
    </r>
    <r>
      <rPr>
        <sz val="10"/>
        <rFont val="Meiryo UI"/>
        <family val="0"/>
        <charset val="1"/>
      </rPr>
      <t xml:space="preserve">/ L builtin.file-length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app 120</t>
    </r>
    <r>
      <rPr>
        <sz val="10"/>
        <rFont val="Noto Sans CJK SC"/>
        <family val="2"/>
      </rPr>
      <t xml:space="preserve">行）</t>
    </r>
  </si>
  <si>
    <r>
      <rPr>
        <sz val="10"/>
        <rFont val="Noto Sans CJK SC"/>
        <family val="2"/>
      </rPr>
      <t xml:space="preserve">画面の多様な要求を小さく分ける・登録系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参照系</t>
    </r>
  </si>
  <si>
    <t xml:space="preserve">P15 P30 / tpl design.md</t>
  </si>
  <si>
    <t xml:space="preserve">小さく分けたサービスを組み立てる・シナリオクラス</t>
  </si>
  <si>
    <r>
      <rPr>
        <sz val="10"/>
        <rFont val="Meiryo UI"/>
        <family val="0"/>
        <charset val="1"/>
      </rPr>
      <t xml:space="preserve">P30 / patterns.md</t>
    </r>
    <r>
      <rPr>
        <sz val="10"/>
        <rFont val="Noto Sans CJK SC"/>
        <family val="2"/>
      </rPr>
      <t xml:space="preserve">「シナリオ」</t>
    </r>
    <r>
      <rPr>
        <sz val="10"/>
        <rFont val="Meiryo UI"/>
        <family val="0"/>
        <charset val="1"/>
      </rPr>
      <t xml:space="preserve">/ tpl design.md </t>
    </r>
    <r>
      <rPr>
        <sz val="10"/>
        <rFont val="Noto Sans CJK SC"/>
        <family val="2"/>
      </rPr>
      <t xml:space="preserve">シナリオ表</t>
    </r>
  </si>
  <si>
    <t xml:space="preserve">利用する側と提供する側の合意を明確にする</t>
  </si>
  <si>
    <t xml:space="preserve">P30 / tpl design.md</t>
  </si>
  <si>
    <t xml:space="preserve">データベースの都合から分離・業務の関心事で考える・リポジトリ</t>
  </si>
  <si>
    <r>
      <rPr>
        <sz val="10"/>
        <rFont val="Meiryo UI"/>
        <family val="0"/>
        <charset val="1"/>
      </rPr>
      <t xml:space="preserve">P16 / patterns.md</t>
    </r>
    <r>
      <rPr>
        <sz val="10"/>
        <rFont val="Noto Sans CJK SC"/>
        <family val="2"/>
      </rPr>
      <t xml:space="preserve">「リポジトリ」</t>
    </r>
    <r>
      <rPr>
        <sz val="10"/>
        <rFont val="Meiryo UI"/>
        <family val="0"/>
        <charset val="1"/>
      </rPr>
      <t xml:space="preserve">/ L *.domain-purity</t>
    </r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</si>
  <si>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6</t>
    </r>
    <r>
      <rPr>
        <sz val="10"/>
        <rFont val="Noto Sans CJK SC"/>
        <family val="2"/>
      </rPr>
      <t xml:space="preserve">章 データベースの設計とドメインオブジェクト</t>
    </r>
  </si>
  <si>
    <t xml:space="preserve">用途がわかりにくいカラム</t>
  </si>
  <si>
    <t xml:space="preserve">P19 / L sql.vague-column sql.flag</t>
  </si>
  <si>
    <t xml:space="preserve">いろいろな用途に使う巨大なテーブル</t>
  </si>
  <si>
    <t xml:space="preserve">P19 / /db-design §1 / @design-reviewer</t>
  </si>
  <si>
    <t xml:space="preserve">テーブルの関係がわかりにくい・外部キー制約</t>
  </si>
  <si>
    <t xml:space="preserve">P17 / L sql.missing-fk</t>
  </si>
  <si>
    <r>
      <rPr>
        <sz val="10"/>
        <rFont val="Meiryo UI"/>
        <family val="0"/>
        <charset val="1"/>
      </rPr>
      <t xml:space="preserve">NOT NULL </t>
    </r>
    <r>
      <rPr>
        <sz val="10"/>
        <rFont val="Noto Sans CJK SC"/>
        <family val="2"/>
      </rPr>
      <t xml:space="preserve">制約・一意性制約</t>
    </r>
  </si>
  <si>
    <t xml:space="preserve">P17 / L sql.nullable / /db-design §2</t>
  </si>
  <si>
    <t xml:space="preserve">コトに注目するデータベース設計</t>
  </si>
  <si>
    <t xml:space="preserve">P29 P31 / /db-design §3</t>
  </si>
  <si>
    <t xml:space="preserve">記録のタイミングが異なるデータはテーブルを分ける</t>
  </si>
  <si>
    <r>
      <rPr>
        <sz val="10"/>
        <rFont val="Meiryo UI"/>
        <family val="0"/>
        <charset val="1"/>
      </rPr>
      <t xml:space="preserve">P31 / /db-design §3 / tpl design.md</t>
    </r>
    <r>
      <rPr>
        <sz val="10"/>
        <rFont val="Noto Sans CJK SC"/>
        <family val="2"/>
      </rPr>
      <t xml:space="preserve">「記録のタイミング」</t>
    </r>
  </si>
  <si>
    <r>
      <rPr>
        <sz val="10"/>
        <rFont val="Noto Sans CJK SC"/>
        <family val="2"/>
      </rPr>
      <t xml:space="preserve">記録の変更を禁止する・</t>
    </r>
    <r>
      <rPr>
        <sz val="10"/>
        <rFont val="Meiryo UI"/>
        <family val="0"/>
        <charset val="1"/>
      </rPr>
      <t xml:space="preserve">UPDATE </t>
    </r>
    <r>
      <rPr>
        <sz val="10"/>
        <rFont val="Noto Sans CJK SC"/>
        <family val="2"/>
      </rPr>
      <t xml:space="preserve">文は使わない</t>
    </r>
  </si>
  <si>
    <t xml:space="preserve">P18 / L common.sql-update sql.overwrite sql.drop</t>
  </si>
  <si>
    <t xml:space="preserve">カラムの追加はテーブルを追加する</t>
  </si>
  <si>
    <t xml:space="preserve">P31 / L sql.add-column</t>
  </si>
  <si>
    <r>
      <rPr>
        <sz val="10"/>
        <rFont val="Noto Sans CJK SC"/>
        <family val="2"/>
      </rPr>
      <t xml:space="preserve">状態の参照・残高更新は同時</t>
    </r>
    <r>
      <rPr>
        <sz val="10"/>
        <rFont val="Meiryo UI"/>
        <family val="0"/>
        <charset val="1"/>
      </rPr>
      <t xml:space="preserve">/1</t>
    </r>
    <r>
      <rPr>
        <sz val="10"/>
        <rFont val="Noto Sans CJK SC"/>
        <family val="2"/>
      </rPr>
      <t xml:space="preserve">か所でなくてよい・派生情報を転記・状態を動的に導出</t>
    </r>
  </si>
  <si>
    <t xml:space="preserve">P18 / /db-design §4</t>
  </si>
  <si>
    <t xml:space="preserve">オブジェクトとテーブルは似てくる・明示的にマッピング・それぞれらしく</t>
  </si>
  <si>
    <t xml:space="preserve">P16 P31 / /db-design §5 / L cs.persistence-attr go.struct-tags php.active-record ruby.active-record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</si>
  <si>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7</t>
    </r>
    <r>
      <rPr>
        <sz val="10"/>
        <rFont val="Noto Sans CJK SC"/>
        <family val="2"/>
      </rPr>
      <t xml:space="preserve">章 画面とドメインオブジェクトの設計を連動させる</t>
    </r>
  </si>
  <si>
    <t xml:space="preserve">画面にさまざまな関心事が詰め込まれる・画面に引きずられた設計</t>
  </si>
  <si>
    <t xml:space="preserve">P32 / /ui-design</t>
  </si>
  <si>
    <t xml:space="preserve">画面の関心事を小さく分けて独立・画面も分ける・タスクベース</t>
  </si>
  <si>
    <r>
      <rPr>
        <sz val="10"/>
        <rFont val="Meiryo UI"/>
        <family val="0"/>
        <charset val="1"/>
      </rPr>
      <t xml:space="preserve">P32 / /ui-design §1 / tpl design.md</t>
    </r>
    <r>
      <rPr>
        <sz val="10"/>
        <rFont val="Noto Sans CJK SC"/>
        <family val="2"/>
      </rPr>
      <t xml:space="preserve">「画面」</t>
    </r>
  </si>
  <si>
    <t xml:space="preserve">ドメインオブジェクトと画面の食い違いは設計改善の手がかり</t>
  </si>
  <si>
    <t xml:space="preserve">P32 / /ui-design §3</t>
  </si>
  <si>
    <r>
      <rPr>
        <sz val="10"/>
        <rFont val="Noto Sans CJK SC"/>
        <family val="2"/>
      </rPr>
      <t xml:space="preserve">ドメインオブジェクトに書くべきロジック・</t>
    </r>
    <r>
      <rPr>
        <sz val="10"/>
        <rFont val="Meiryo UI"/>
        <family val="0"/>
        <charset val="1"/>
      </rPr>
      <t xml:space="preserve">HTML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class </t>
    </r>
    <r>
      <rPr>
        <sz val="10"/>
        <rFont val="Noto Sans CJK SC"/>
        <family val="2"/>
      </rPr>
      <t xml:space="preserve">属性をドメインから</t>
    </r>
  </si>
  <si>
    <t xml:space="preserve">P32 / /ui-design §2 / L common.ui-calculation common.ui-status-branch</t>
  </si>
  <si>
    <t xml:space="preserve">項目の並び順・グルーピングとフィールドの対応</t>
  </si>
  <si>
    <t xml:space="preserve">画面以外の利用者向け情報も整合させる</t>
  </si>
  <si>
    <r>
      <rPr>
        <sz val="10"/>
        <rFont val="Meiryo UI"/>
        <family val="0"/>
        <charset val="1"/>
      </rPr>
      <t xml:space="preserve">P23 P32 / /ui-design §4 / T </t>
    </r>
    <r>
      <rPr>
        <sz val="10"/>
        <rFont val="Noto Sans CJK SC"/>
        <family val="2"/>
      </rPr>
      <t xml:space="preserve">用語ドリフト（</t>
    </r>
    <r>
      <rPr>
        <sz val="10"/>
        <rFont val="Meiryo UI"/>
        <family val="0"/>
        <charset val="1"/>
      </rPr>
      <t xml:space="preserve">docs </t>
    </r>
    <r>
      <rPr>
        <sz val="10"/>
        <rFont val="Noto Sans CJK SC"/>
        <family val="2"/>
      </rPr>
      <t xml:space="preserve">も走査）</t>
    </r>
  </si>
  <si>
    <t xml:space="preserve">デザインとソフトウェア設計を連動させて洗練</t>
  </si>
  <si>
    <t xml:space="preserve">/ui-design §5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</si>
  <si>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章 アプリケーション間の連携</t>
    </r>
  </si>
  <si>
    <r>
      <rPr>
        <sz val="10"/>
        <rFont val="Noto Sans CJK SC"/>
        <family val="2"/>
      </rPr>
      <t xml:space="preserve">連携の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つのやり方（ファイル転送・</t>
    </r>
    <r>
      <rPr>
        <sz val="10"/>
        <rFont val="Meiryo UI"/>
        <family val="0"/>
        <charset val="1"/>
      </rPr>
      <t xml:space="preserve">DB </t>
    </r>
    <r>
      <rPr>
        <sz val="10"/>
        <rFont val="Noto Sans CJK SC"/>
        <family val="2"/>
      </rPr>
      <t xml:space="preserve">共有・</t>
    </r>
    <r>
      <rPr>
        <sz val="10"/>
        <rFont val="Meiryo UI"/>
        <family val="0"/>
        <charset val="1"/>
      </rPr>
      <t xml:space="preserve">Web API</t>
    </r>
    <r>
      <rPr>
        <sz val="10"/>
        <rFont val="Noto Sans CJK SC"/>
        <family val="2"/>
      </rPr>
      <t xml:space="preserve">・メッセージング）</t>
    </r>
  </si>
  <si>
    <t xml:space="preserve">P33 / /api-design §1 / tpl design.md</t>
  </si>
  <si>
    <r>
      <rPr>
        <sz val="10"/>
        <rFont val="Meiryo UI"/>
        <family val="0"/>
        <charset val="1"/>
      </rPr>
      <t xml:space="preserve">HTTP </t>
    </r>
    <r>
      <rPr>
        <sz val="10"/>
        <rFont val="Noto Sans CJK SC"/>
        <family val="2"/>
      </rPr>
      <t xml:space="preserve">の約束事（</t>
    </r>
    <r>
      <rPr>
        <sz val="10"/>
        <rFont val="Meiryo UI"/>
        <family val="0"/>
        <charset val="1"/>
      </rPr>
      <t xml:space="preserve">URI</t>
    </r>
    <r>
      <rPr>
        <sz val="10"/>
        <rFont val="Noto Sans CJK SC"/>
        <family val="2"/>
      </rPr>
      <t xml:space="preserve">・メソッド・ステータスコード・エラー・表現形式）</t>
    </r>
  </si>
  <si>
    <t xml:space="preserve">/api-design §2</t>
  </si>
  <si>
    <r>
      <rPr>
        <sz val="10"/>
        <rFont val="Noto Sans CJK SC"/>
        <family val="2"/>
      </rPr>
      <t xml:space="preserve">使いにくい </t>
    </r>
    <r>
      <rPr>
        <sz val="10"/>
        <rFont val="Meiryo UI"/>
        <family val="0"/>
        <charset val="1"/>
      </rPr>
      <t xml:space="preserve">API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One Size Fits All</t>
    </r>
    <r>
      <rPr>
        <sz val="10"/>
        <rFont val="Noto Sans CJK SC"/>
        <family val="2"/>
      </rPr>
      <t xml:space="preserve">・部品を提供する</t>
    </r>
  </si>
  <si>
    <t xml:space="preserve">P20 / /api-design §3</t>
  </si>
  <si>
    <r>
      <rPr>
        <sz val="10"/>
        <rFont val="Noto Sans CJK SC"/>
        <family val="2"/>
      </rPr>
      <t xml:space="preserve">単純なことから始める・動かしながら発展・共同作業の環境（</t>
    </r>
    <r>
      <rPr>
        <sz val="10"/>
        <rFont val="Meiryo UI"/>
        <family val="0"/>
        <charset val="1"/>
      </rPr>
      <t xml:space="preserve">OpenAPI/Swagger UI</t>
    </r>
    <r>
      <rPr>
        <sz val="10"/>
        <rFont val="Noto Sans CJK SC"/>
        <family val="2"/>
      </rPr>
      <t xml:space="preserve">）</t>
    </r>
  </si>
  <si>
    <t xml:space="preserve">P33 / /api-design §3</t>
  </si>
  <si>
    <r>
      <rPr>
        <sz val="10"/>
        <rFont val="Noto Sans CJK SC"/>
        <family val="2"/>
      </rPr>
      <t xml:space="preserve">中核となる 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のセット・複合したサービス・共通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個別の分離</t>
    </r>
  </si>
  <si>
    <r>
      <rPr>
        <sz val="10"/>
        <rFont val="Noto Sans CJK SC"/>
        <family val="2"/>
      </rPr>
      <t xml:space="preserve">バージョン管理・</t>
    </r>
    <r>
      <rPr>
        <sz val="10"/>
        <rFont val="Meiryo UI"/>
        <family val="0"/>
        <charset val="1"/>
      </rPr>
      <t xml:space="preserve">API </t>
    </r>
    <r>
      <rPr>
        <sz val="10"/>
        <rFont val="Noto Sans CJK SC"/>
        <family val="2"/>
      </rPr>
      <t xml:space="preserve">を進化させる</t>
    </r>
  </si>
  <si>
    <r>
      <rPr>
        <sz val="10"/>
        <rFont val="Meiryo UI"/>
        <family val="0"/>
        <charset val="1"/>
      </rPr>
      <t xml:space="preserve">P33 / /api-design §5 / /p6-release</t>
    </r>
    <r>
      <rPr>
        <sz val="10"/>
        <rFont val="Noto Sans CJK SC"/>
        <family val="2"/>
      </rPr>
      <t xml:space="preserve">（互換性）</t>
    </r>
  </si>
  <si>
    <t xml:space="preserve">データ形式とドメインオブジェクトの不一致・導出結果か生データか</t>
  </si>
  <si>
    <t xml:space="preserve">P21 / /api-design §4 / tpl design.md</t>
  </si>
  <si>
    <t xml:space="preserve">小さなアプリケーションに分けて組み合わせる・非同期メッセージング</t>
  </si>
  <si>
    <t xml:space="preserve">P33 / /api-design §5 §6 / T kind: event</t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</si>
  <si>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9</t>
    </r>
    <r>
      <rPr>
        <sz val="10"/>
        <rFont val="Noto Sans CJK SC"/>
        <family val="2"/>
      </rPr>
      <t xml:space="preserve">章 オブジェクト指向の開発プロセス</t>
    </r>
  </si>
  <si>
    <t xml:space="preserve">ドメインモデル中心の進め方・業務ロジックに焦点</t>
  </si>
  <si>
    <r>
      <rPr>
        <sz val="10"/>
        <rFont val="Meiryo UI"/>
        <family val="0"/>
        <charset val="1"/>
      </rPr>
      <t xml:space="preserve">P22 P29 / G </t>
    </r>
    <r>
      <rPr>
        <sz val="10"/>
        <rFont val="Noto Sans CJK SC"/>
        <family val="2"/>
      </rPr>
      <t xml:space="preserve">工程ゲート</t>
    </r>
  </si>
  <si>
    <t xml:space="preserve">ソースコードを第一級のドキュメント・多くのドキュメントは不要・更新すべきドキュメント</t>
  </si>
  <si>
    <r>
      <rPr>
        <sz val="10"/>
        <rFont val="Meiryo UI"/>
        <family val="0"/>
        <charset val="1"/>
      </rPr>
      <t xml:space="preserve">P34 / /project-management §5 / tpl design.md</t>
    </r>
    <r>
      <rPr>
        <sz val="10"/>
        <rFont val="Noto Sans CJK SC"/>
        <family val="2"/>
      </rPr>
      <t xml:space="preserve">「コードを読めば分かることは書かない」</t>
    </r>
  </si>
  <si>
    <t xml:space="preserve">全体を俯瞰するドキュメントを作成して共有</t>
  </si>
  <si>
    <r>
      <rPr>
        <sz val="10"/>
        <rFont val="Meiryo UI"/>
        <family val="0"/>
        <charset val="1"/>
      </rPr>
      <t xml:space="preserve">P34 / harness overview → docs/overview.md</t>
    </r>
    <r>
      <rPr>
        <sz val="10"/>
        <rFont val="Noto Sans CJK SC"/>
        <family val="2"/>
      </rPr>
      <t xml:space="preserve">（モデル図・状態遷移・要件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テスト）</t>
    </r>
  </si>
  <si>
    <t xml:space="preserve">技術方式のドキュメントもソースコードで表現</t>
  </si>
  <si>
    <r>
      <rPr>
        <sz val="10"/>
        <rFont val="Meiryo UI"/>
        <family val="0"/>
        <charset val="1"/>
      </rPr>
      <t xml:space="preserve">P34 / harness.yaml</t>
    </r>
    <r>
      <rPr>
        <sz val="10"/>
        <rFont val="Noto Sans CJK SC"/>
        <family val="2"/>
      </rPr>
      <t xml:space="preserve">・ルールパック・</t>
    </r>
    <r>
      <rPr>
        <sz val="10"/>
        <rFont val="Meiryo UI"/>
        <family val="0"/>
        <charset val="1"/>
      </rPr>
      <t xml:space="preserve">adapters </t>
    </r>
    <r>
      <rPr>
        <sz val="10"/>
        <rFont val="Noto Sans CJK SC"/>
        <family val="2"/>
      </rPr>
      <t xml:space="preserve">が技術方式そのもの</t>
    </r>
  </si>
  <si>
    <t xml:space="preserve">非機能要件はテストコードで表現する</t>
  </si>
  <si>
    <r>
      <rPr>
        <sz val="10"/>
        <rFont val="Meiryo UI"/>
        <family val="0"/>
        <charset val="1"/>
      </rPr>
      <t xml:space="preserve">P34 / T NFR-xxx-xx </t>
    </r>
    <r>
      <rPr>
        <sz val="10"/>
        <rFont val="Noto Sans CJK SC"/>
        <family val="2"/>
      </rPr>
      <t xml:space="preserve">の紐付け </t>
    </r>
    <r>
      <rPr>
        <sz val="10"/>
        <rFont val="Meiryo UI"/>
        <family val="0"/>
        <charset val="1"/>
      </rPr>
      <t xml:space="preserve">/ /p5-test</t>
    </r>
  </si>
  <si>
    <t xml:space="preserve">見積もりと契約・進捗の判断・品質保証・要員と体制</t>
  </si>
  <si>
    <r>
      <rPr>
        <sz val="10"/>
        <rFont val="Meiryo UI"/>
        <family val="0"/>
        <charset val="1"/>
      </rPr>
      <t xml:space="preserve">/project-management §1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§6 / overview </t>
    </r>
    <r>
      <rPr>
        <sz val="10"/>
        <rFont val="Noto Sans CJK SC"/>
        <family val="2"/>
      </rPr>
      <t xml:space="preserve">の進捗</t>
    </r>
  </si>
  <si>
    <r>
      <rPr>
        <sz val="10"/>
        <rFont val="Noto Sans CJK SC"/>
        <family val="2"/>
      </rPr>
      <t xml:space="preserve">第</t>
    </r>
    <r>
      <rPr>
        <sz val="10"/>
        <rFont val="Meiryo UI"/>
        <family val="0"/>
        <charset val="1"/>
      </rPr>
      <t xml:space="preserve">10</t>
    </r>
    <r>
      <rPr>
        <sz val="10"/>
        <rFont val="Noto Sans CJK SC"/>
        <family val="2"/>
      </rPr>
      <t xml:space="preserve">章 オブジェクト指向設計の学び方と教え方</t>
    </r>
  </si>
  <si>
    <t xml:space="preserve">オブジェクト指向の説明は意味不明・なぜ良いのかわからない</t>
  </si>
  <si>
    <r>
      <rPr>
        <sz val="10"/>
        <rFont val="Meiryo UI"/>
        <family val="0"/>
        <charset val="1"/>
      </rPr>
      <t xml:space="preserve">@design-coach</t>
    </r>
    <r>
      <rPr>
        <sz val="10"/>
        <rFont val="Noto Sans CJK SC"/>
        <family val="2"/>
      </rPr>
      <t xml:space="preserve">（抽象論でなく実コードの </t>
    </r>
    <r>
      <rPr>
        <sz val="10"/>
        <rFont val="Meiryo UI"/>
        <family val="0"/>
        <charset val="1"/>
      </rPr>
      <t xml:space="preserve">Before/After </t>
    </r>
    <r>
      <rPr>
        <sz val="10"/>
        <rFont val="Noto Sans CJK SC"/>
        <family val="2"/>
      </rPr>
      <t xml:space="preserve">と変更箇所の数で説明）</t>
    </r>
  </si>
  <si>
    <t xml:space="preserve">既存のコードを改善しながら学ぶ・実際のコードで設計の違いを知る</t>
  </si>
  <si>
    <t xml:space="preserve">/refactor / @design-coach</t>
  </si>
  <si>
    <t xml:space="preserve">重複したコード・長いメソッド・巨大なクラス</t>
  </si>
  <si>
    <r>
      <rPr>
        <sz val="10"/>
        <rFont val="Meiryo UI"/>
        <family val="0"/>
        <charset val="1"/>
      </rPr>
      <t xml:space="preserve">P02 P03 / L builtin.* / /refactor </t>
    </r>
    <r>
      <rPr>
        <sz val="10"/>
        <rFont val="Noto Sans CJK SC"/>
        <family val="2"/>
      </rPr>
      <t xml:space="preserve">の表</t>
    </r>
  </si>
  <si>
    <t xml:space="preserve">リファクタリングは部分的に少しずつ・組み立てやすい部品に改善・少しずつ改良を続ける</t>
  </si>
  <si>
    <r>
      <rPr>
        <sz val="10"/>
        <rFont val="Meiryo UI"/>
        <family val="0"/>
        <charset val="1"/>
      </rPr>
      <t xml:space="preserve">P35 / /refactor §0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§3 / baseline </t>
    </r>
    <r>
      <rPr>
        <sz val="10"/>
        <rFont val="Noto Sans CJK SC"/>
        <family val="2"/>
      </rPr>
      <t xml:space="preserve">からの段階的解消</t>
    </r>
  </si>
  <si>
    <t xml:space="preserve">オブジェクト指向の考え方を理解する（参考文献）</t>
  </si>
  <si>
    <r>
      <rPr>
        <sz val="10"/>
        <rFont val="Meiryo UI"/>
        <family val="0"/>
        <charset val="1"/>
      </rPr>
      <t xml:space="preserve">@design-coach </t>
    </r>
    <r>
      <rPr>
        <sz val="10"/>
        <rFont val="Noto Sans CJK SC"/>
        <family val="2"/>
      </rPr>
      <t xml:space="preserve">の教える順序</t>
    </r>
  </si>
  <si>
    <t xml:space="preserve">パス</t>
  </si>
  <si>
    <t xml:space="preserve">CHANGELOG.md</t>
  </si>
  <si>
    <t xml:space="preserve">変更履歴（レビュー対応の内容）</t>
  </si>
  <si>
    <t xml:space="preserve">CLAUDE.md</t>
  </si>
  <si>
    <r>
      <rPr>
        <sz val="10"/>
        <rFont val="Meiryo UI"/>
        <family val="0"/>
        <charset val="1"/>
      </rPr>
      <t xml:space="preserve">Claude </t>
    </r>
    <r>
      <rPr>
        <sz val="10"/>
        <rFont val="Noto Sans CJK SC"/>
        <family val="2"/>
      </rPr>
      <t xml:space="preserve">への常設指示（設計思想・工程・絶対ルール・コマンド）</t>
    </r>
  </si>
  <si>
    <t xml:space="preserve">README.md</t>
  </si>
  <si>
    <t xml:space="preserve">ハーネスの説明・導入・設定・独自ルールの書き方</t>
  </si>
  <si>
    <t xml:space="preserve">BOOK_COVERAGE.md</t>
  </si>
  <si>
    <t xml:space="preserve">書籍の目次とハーネスの対応表</t>
  </si>
  <si>
    <t xml:space="preserve">.claude/settings.json</t>
  </si>
  <si>
    <r>
      <rPr>
        <sz val="10"/>
        <rFont val="Noto Sans CJK SC"/>
        <family val="2"/>
      </rPr>
      <t xml:space="preserve">権限（</t>
    </r>
    <r>
      <rPr>
        <sz val="10"/>
        <rFont val="Meiryo UI"/>
        <family val="0"/>
        <charset val="1"/>
      </rPr>
      <t xml:space="preserve">allow/ask/deny</t>
    </r>
    <r>
      <rPr>
        <sz val="10"/>
        <rFont val="Noto Sans CJK SC"/>
        <family val="2"/>
      </rPr>
      <t xml:space="preserve">）とフックの登録</t>
    </r>
  </si>
  <si>
    <t xml:space="preserve">.claude/harness/harness.py</t>
  </si>
  <si>
    <r>
      <rPr>
        <sz val="10"/>
        <rFont val="Meiryo UI"/>
        <family val="0"/>
        <charset val="1"/>
      </rPr>
      <t xml:space="preserve">CLI </t>
    </r>
    <r>
      <rPr>
        <sz val="10"/>
        <rFont val="Noto Sans CJK SC"/>
        <family val="2"/>
      </rPr>
      <t xml:space="preserve">本体（フックの入口を兼ねる）</t>
    </r>
  </si>
  <si>
    <t xml:space="preserve">.claude/harness/defaults.yaml</t>
  </si>
  <si>
    <r>
      <rPr>
        <sz val="10"/>
        <rFont val="Noto Sans CJK SC"/>
        <family val="2"/>
      </rPr>
      <t xml:space="preserve">設定の既定値（</t>
    </r>
    <r>
      <rPr>
        <sz val="10"/>
        <rFont val="Meiryo UI"/>
        <family val="0"/>
        <charset val="1"/>
      </rPr>
      <t xml:space="preserve">harness.yaml </t>
    </r>
    <r>
      <rPr>
        <sz val="10"/>
        <rFont val="Noto Sans CJK SC"/>
        <family val="2"/>
      </rPr>
      <t xml:space="preserve">で上書き）</t>
    </r>
  </si>
  <si>
    <t xml:space="preserve">.claude/harness/lib/</t>
  </si>
  <si>
    <r>
      <rPr>
        <sz val="10"/>
        <rFont val="Meiryo UI"/>
        <family val="0"/>
        <charset val="1"/>
      </rPr>
      <t xml:space="preserve">core</t>
    </r>
    <r>
      <rPr>
        <sz val="10"/>
        <rFont val="Noto Sans CJK SC"/>
        <family val="2"/>
      </rPr>
      <t xml:space="preserve">（設定・判定）</t>
    </r>
    <r>
      <rPr>
        <sz val="10"/>
        <rFont val="Meiryo UI"/>
        <family val="0"/>
        <charset val="1"/>
      </rPr>
      <t xml:space="preserve">/ lang</t>
    </r>
    <r>
      <rPr>
        <sz val="10"/>
        <rFont val="Noto Sans CJK SC"/>
        <family val="2"/>
      </rPr>
      <t xml:space="preserve">（言語仕様）</t>
    </r>
    <r>
      <rPr>
        <sz val="10"/>
        <rFont val="Meiryo UI"/>
        <family val="0"/>
        <charset val="1"/>
      </rPr>
      <t xml:space="preserve">/ rules</t>
    </r>
    <r>
      <rPr>
        <sz val="10"/>
        <rFont val="Noto Sans CJK SC"/>
        <family val="2"/>
      </rPr>
      <t xml:space="preserve">（ルールエンジン・依存方向）</t>
    </r>
    <r>
      <rPr>
        <sz val="10"/>
        <rFont val="Meiryo UI"/>
        <family val="0"/>
        <charset val="1"/>
      </rPr>
      <t xml:space="preserve">/ gate / trace / verify / init / overview / selftest</t>
    </r>
  </si>
  <si>
    <t xml:space="preserve">.claude/harness/rules/*.yaml</t>
  </si>
  <si>
    <r>
      <rPr>
        <sz val="10"/>
        <rFont val="Noto Sans CJK SC"/>
        <family val="2"/>
      </rPr>
      <t xml:space="preserve">言語パック（</t>
    </r>
    <r>
      <rPr>
        <sz val="10"/>
        <rFont val="Meiryo UI"/>
        <family val="0"/>
        <charset val="1"/>
      </rPr>
      <t xml:space="preserve">common, java, kotlin, typescript, python, go, csharp, php, ruby</t>
    </r>
    <r>
      <rPr>
        <sz val="10"/>
        <rFont val="Noto Sans CJK SC"/>
        <family val="2"/>
      </rPr>
      <t xml:space="preserve">）</t>
    </r>
  </si>
  <si>
    <t xml:space="preserve">.claude/harness/rules/profiles/calisthenics.yaml</t>
  </si>
  <si>
    <t xml:space="preserve">過激なコーディング規則プロファイル</t>
  </si>
  <si>
    <t xml:space="preserve">.claude/harness/templates/</t>
  </si>
  <si>
    <t xml:space="preserve">principles.md / requirement.yaml / domain.yaml / design.md / adr.md / release-note.md</t>
  </si>
  <si>
    <t xml:space="preserve">.claude/harness/adapters/</t>
  </si>
  <si>
    <r>
      <rPr>
        <sz val="10"/>
        <rFont val="Noto Sans CJK SC"/>
        <family val="2"/>
      </rPr>
      <t xml:space="preserve">任意の構造テスト（</t>
    </r>
    <r>
      <rPr>
        <sz val="10"/>
        <rFont val="Meiryo UI"/>
        <family val="0"/>
        <charset val="1"/>
      </rPr>
      <t xml:space="preserve">ArchUnit / ESLint / import-linter / deptrac</t>
    </r>
    <r>
      <rPr>
        <sz val="10"/>
        <rFont val="Noto Sans CJK SC"/>
        <family val="2"/>
      </rPr>
      <t xml:space="preserve">）</t>
    </r>
  </si>
  <si>
    <t xml:space="preserve">.claude/harness/tests/fixtures/</t>
  </si>
  <si>
    <t xml:space="preserve">自己テスト用の良い例・悪い例</t>
  </si>
  <si>
    <t xml:space="preserve">.claude/skills/</t>
  </si>
  <si>
    <r>
      <rPr>
        <sz val="10"/>
        <rFont val="Noto Sans CJK SC"/>
        <family val="2"/>
      </rPr>
      <t xml:space="preserve">工程スキル </t>
    </r>
    <r>
      <rPr>
        <sz val="10"/>
        <rFont val="Meiryo UI"/>
        <family val="0"/>
        <charset val="1"/>
      </rPr>
      <t xml:space="preserve">p1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p6 </t>
    </r>
    <r>
      <rPr>
        <sz val="10"/>
        <rFont val="Noto Sans CJK SC"/>
        <family val="2"/>
      </rPr>
      <t xml:space="preserve">と補助スキル </t>
    </r>
    <r>
      <rPr>
        <sz val="10"/>
        <rFont val="Meiryo UI"/>
        <family val="0"/>
        <charset val="1"/>
      </rPr>
      <t xml:space="preserve">6 </t>
    </r>
    <r>
      <rPr>
        <sz val="10"/>
        <rFont val="Noto Sans CJK SC"/>
        <family val="2"/>
      </rPr>
      <t xml:space="preserve">種</t>
    </r>
  </si>
  <si>
    <t xml:space="preserve">.claude/agents/</t>
  </si>
  <si>
    <t xml:space="preserve">domain-modeler / design-reviewer / test-designer / design-coach</t>
  </si>
  <si>
    <t xml:space="preserve">.github/workflows/</t>
  </si>
  <si>
    <r>
      <rPr>
        <sz val="10"/>
        <rFont val="Meiryo UI"/>
        <family val="0"/>
        <charset val="1"/>
      </rPr>
      <t xml:space="preserve">ci.yml</t>
    </r>
    <r>
      <rPr>
        <sz val="10"/>
        <rFont val="Noto Sans CJK SC"/>
        <family val="2"/>
      </rPr>
      <t xml:space="preserve">（検査＋ビルド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テスト）、</t>
    </r>
    <r>
      <rPr>
        <sz val="10"/>
        <rFont val="Meiryo UI"/>
        <family val="0"/>
        <charset val="1"/>
      </rPr>
      <t xml:space="preserve">release.yml</t>
    </r>
    <r>
      <rPr>
        <sz val="10"/>
        <rFont val="Noto Sans CJK SC"/>
        <family val="2"/>
      </rPr>
      <t xml:space="preserve">（タグで </t>
    </r>
    <r>
      <rPr>
        <sz val="10"/>
        <rFont val="Meiryo UI"/>
        <family val="0"/>
        <charset val="1"/>
      </rPr>
      <t xml:space="preserve">GitHub Release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</si>
  <si>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harness.yaml</t>
    </r>
    <r>
      <rPr>
        <sz val="10"/>
        <rFont val="Noto Sans CJK SC"/>
        <family val="2"/>
      </rPr>
      <t xml:space="preserve">（生成）</t>
    </r>
  </si>
  <si>
    <t xml:space="preserve">プロジェクト固有の設定</t>
  </si>
  <si>
    <r>
      <rPr>
        <sz val="10"/>
        <rFont val="Meiryo UI"/>
        <family val="0"/>
        <charset val="1"/>
      </rPr>
      <t xml:space="preserve">docs/</t>
    </r>
    <r>
      <rPr>
        <sz val="10"/>
        <rFont val="Noto Sans CJK SC"/>
        <family val="2"/>
      </rPr>
      <t xml:space="preserve">（生成・作成）</t>
    </r>
  </si>
  <si>
    <t xml:space="preserve">principles.md, requirements/, model/domain.yaml, design/, adr/, releases/, overview.md</t>
  </si>
  <si>
    <r>
      <rPr>
        <sz val="10"/>
        <rFont val="Meiryo UI"/>
        <family val="0"/>
        <charset val="1"/>
      </rPr>
      <t xml:space="preserve">.harness/</t>
    </r>
    <r>
      <rPr>
        <sz val="10"/>
        <rFont val="Noto Sans CJK SC"/>
        <family val="2"/>
      </rPr>
      <t xml:space="preserve">（生成・</t>
    </r>
    <r>
      <rPr>
        <sz val="10"/>
        <rFont val="Meiryo UI"/>
        <family val="0"/>
        <charset val="1"/>
      </rPr>
      <t xml:space="preserve">git </t>
    </r>
    <r>
      <rPr>
        <sz val="10"/>
        <rFont val="Noto Sans CJK SC"/>
        <family val="2"/>
      </rPr>
      <t xml:space="preserve">管理外）</t>
    </r>
  </si>
  <si>
    <r>
      <rPr>
        <sz val="10"/>
        <rFont val="Meiryo UI"/>
        <family val="0"/>
        <charset val="1"/>
      </rPr>
      <t xml:space="preserve">last_verify.json</t>
    </r>
    <r>
      <rPr>
        <sz val="10"/>
        <rFont val="Noto Sans CJK SC"/>
        <family val="2"/>
      </rPr>
      <t xml:space="preserve">（リリースゲート記録）ほか</t>
    </r>
  </si>
  <si>
    <r>
      <rPr>
        <sz val="10"/>
        <rFont val="Meiryo UI"/>
        <family val="0"/>
        <charset val="1"/>
      </rPr>
      <t xml:space="preserve">.harness-baseline.json</t>
    </r>
    <r>
      <rPr>
        <sz val="10"/>
        <rFont val="Noto Sans CJK SC"/>
        <family val="2"/>
      </rPr>
      <t xml:space="preserve">（生成）</t>
    </r>
  </si>
  <si>
    <t xml:space="preserve">凍結した既存違反（コミットする）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</si>
</sst>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Meiryo UI"/>
      <family val="0"/>
      <charset val="1"/>
    </font>
    <font>
      <b val="true"/>
      <sz val="12"/>
      <color rgb="FF1F3864"/>
      <name val="Noto Sans CJK SC"/>
      <family val="2"/>
    </font>
    <font>
      <sz val="10"/>
      <name val="Noto Sans CJK SC"/>
      <family val="2"/>
    </font>
    <font>
      <sz val="10"/>
      <name val="Meiryo UI"/>
      <family val="0"/>
      <charset val="1"/>
    </font>
    <font>
      <b val="true"/>
      <sz val="10"/>
      <name val="Meiryo UI"/>
      <family val="0"/>
      <charset val="1"/>
    </font>
    <font>
      <u val="single"/>
      <sz val="10"/>
      <color rgb="FF0563C1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i val="true"/>
      <sz val="9"/>
      <color rgb="FF595959"/>
      <name val="Meiryo UI"/>
      <family val="0"/>
      <charset val="1"/>
    </font>
    <font>
      <i val="true"/>
      <sz val="9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 UI"/>
      <family val="0"/>
      <charset val="1"/>
    </font>
    <font>
      <b val="true"/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Meiryo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1F5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CE4D6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12495;&#12540;&#12493;&#12473;&#32068;&#12415;&#36796;&#12415;&#19968;&#35239;&#12392;&#12510;&#12491;&#12517;&#12450;&#12523;.xlsx" TargetMode="External"/><Relationship Id="rId2" Type="http://schemas.openxmlformats.org/officeDocument/2006/relationships/hyperlink" Target="&#12495;&#12540;&#12493;&#12473;&#32068;&#12415;&#36796;&#12415;&#19968;&#35239;&#12392;&#12510;&#12491;&#12517;&#12450;&#12523;.xlsx" TargetMode="External"/><Relationship Id="rId3" Type="http://schemas.openxmlformats.org/officeDocument/2006/relationships/hyperlink" Target="&#12495;&#12540;&#12493;&#12473;&#32068;&#12415;&#36796;&#12415;&#19968;&#35239;&#12392;&#12510;&#12491;&#12517;&#12450;&#12523;.xlsx" TargetMode="External"/><Relationship Id="rId4" Type="http://schemas.openxmlformats.org/officeDocument/2006/relationships/hyperlink" Target="&#12495;&#12540;&#12493;&#12473;&#32068;&#12415;&#36796;&#12415;&#19968;&#35239;&#12392;&#12510;&#12491;&#12517;&#12450;&#12523;.xlsx" TargetMode="External"/><Relationship Id="rId5" Type="http://schemas.openxmlformats.org/officeDocument/2006/relationships/hyperlink" Target="&#12495;&#12540;&#12493;&#12473;&#32068;&#12415;&#36796;&#12415;&#19968;&#35239;&#12392;&#12510;&#12491;&#12517;&#12450;&#12523;.xlsx" TargetMode="External"/><Relationship Id="rId6" Type="http://schemas.openxmlformats.org/officeDocument/2006/relationships/hyperlink" Target="&#12495;&#12540;&#12493;&#12473;&#32068;&#12415;&#36796;&#12415;&#19968;&#35239;&#12392;&#12510;&#12491;&#12517;&#12450;&#12523;.xlsx" TargetMode="External"/><Relationship Id="rId7" Type="http://schemas.openxmlformats.org/officeDocument/2006/relationships/hyperlink" Target="&#12495;&#12540;&#12493;&#12473;&#32068;&#12415;&#36796;&#12415;&#19968;&#35239;&#12392;&#12510;&#12491;&#12517;&#12450;&#12523;.xlsx" TargetMode="External"/><Relationship Id="rId8" Type="http://schemas.openxmlformats.org/officeDocument/2006/relationships/hyperlink" Target="&#12495;&#12540;&#12493;&#12473;&#32068;&#12415;&#36796;&#12415;&#19968;&#35239;&#12392;&#12510;&#12491;&#12517;&#12450;&#12523;.xlsx" TargetMode="External"/><Relationship Id="rId9" Type="http://schemas.openxmlformats.org/officeDocument/2006/relationships/hyperlink" Target="&#12495;&#12540;&#12493;&#12473;&#32068;&#12415;&#36796;&#12415;&#19968;&#35239;&#12392;&#12510;&#12491;&#12517;&#12450;&#12523;.xlsx" TargetMode="External"/><Relationship Id="rId10" Type="http://schemas.openxmlformats.org/officeDocument/2006/relationships/hyperlink" Target="&#12495;&#12540;&#12493;&#12473;&#32068;&#12415;&#36796;&#12415;&#19968;&#35239;&#12392;&#12510;&#12491;&#12517;&#12450;&#12523;.xlsx" TargetMode="External"/><Relationship Id="rId11" Type="http://schemas.openxmlformats.org/officeDocument/2006/relationships/hyperlink" Target="&#12495;&#12540;&#12493;&#12473;&#32068;&#12415;&#36796;&#12415;&#19968;&#35239;&#12392;&#12510;&#12491;&#12517;&#12450;&#12523;.xlsx" TargetMode="External"/><Relationship Id="rId12" Type="http://schemas.openxmlformats.org/officeDocument/2006/relationships/hyperlink" Target="&#12495;&#12540;&#12493;&#12473;&#32068;&#12415;&#36796;&#12415;&#19968;&#35239;&#12392;&#12510;&#12491;&#12517;&#12450;&#12523;.xlsx" TargetMode="External"/><Relationship Id="rId13" Type="http://schemas.openxmlformats.org/officeDocument/2006/relationships/hyperlink" Target="&#12495;&#12540;&#12493;&#12473;&#32068;&#12415;&#36796;&#12415;&#19968;&#35239;&#12392;&#12510;&#12491;&#12517;&#12450;&#12523;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14"/>
  </cols>
  <sheetData>
    <row r="2" customFormat="false" ht="22.05" hidden="false" customHeight="false" outlineLevel="0" collapsed="false">
      <c r="B2" s="1" t="s">
        <v>0</v>
      </c>
    </row>
    <row r="3" customFormat="false" ht="17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  <c r="D6" s="4"/>
    </row>
    <row r="7" customFormat="false" ht="30" hidden="false" customHeight="true" outlineLevel="0" collapsed="false">
      <c r="B7" s="4" t="s">
        <v>4</v>
      </c>
      <c r="C7" s="4"/>
      <c r="D7" s="4"/>
    </row>
    <row r="8" customFormat="false" ht="30" hidden="false" customHeight="true" outlineLevel="0" collapsed="false">
      <c r="B8" s="4" t="s">
        <v>5</v>
      </c>
      <c r="C8" s="4"/>
      <c r="D8" s="4"/>
    </row>
    <row r="9" customFormat="false" ht="30" hidden="false" customHeight="true" outlineLevel="0" collapsed="false">
      <c r="B9" s="4" t="s">
        <v>6</v>
      </c>
      <c r="C9" s="4"/>
      <c r="D9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  <c r="C12" s="6" t="s">
        <v>9</v>
      </c>
      <c r="D12" s="7" t="n">
        <f aca="false">COUNTA(原則一覧!A:A)-1</f>
        <v>35</v>
      </c>
    </row>
    <row r="13" customFormat="false" ht="15" hidden="false" customHeight="false" outlineLevel="0" collapsed="false">
      <c r="B13" s="5" t="s">
        <v>10</v>
      </c>
      <c r="C13" s="5" t="s">
        <v>11</v>
      </c>
      <c r="D13" s="7" t="n">
        <f aca="false">COUNTA(ルール一覧!B:B)-1</f>
        <v>92</v>
      </c>
    </row>
    <row r="14" customFormat="false" ht="15" hidden="false" customHeight="false" outlineLevel="0" collapsed="false">
      <c r="B14" s="5" t="s">
        <v>12</v>
      </c>
      <c r="C14" s="5" t="s">
        <v>13</v>
      </c>
      <c r="D14" s="7" t="n">
        <f aca="false">COUNTIF(ルール一覧!E:E,"エラー")</f>
        <v>39</v>
      </c>
    </row>
    <row r="15" customFormat="false" ht="15" hidden="false" customHeight="false" outlineLevel="0" collapsed="false">
      <c r="B15" s="5" t="s">
        <v>14</v>
      </c>
      <c r="C15" s="6" t="s">
        <v>15</v>
      </c>
      <c r="D15" s="7" t="n">
        <f aca="false">COUNTIF(ルール一覧!E:E,"警告")</f>
        <v>53</v>
      </c>
    </row>
    <row r="16" customFormat="false" ht="15" hidden="false" customHeight="false" outlineLevel="0" collapsed="false">
      <c r="B16" s="5" t="s">
        <v>16</v>
      </c>
      <c r="C16" s="5" t="s">
        <v>17</v>
      </c>
      <c r="D16" s="7" t="n">
        <f aca="false">COUNTA(スキル一覧!A:A)-1</f>
        <v>12</v>
      </c>
    </row>
    <row r="17" customFormat="false" ht="15" hidden="false" customHeight="false" outlineLevel="0" collapsed="false">
      <c r="B17" s="5" t="s">
        <v>18</v>
      </c>
      <c r="C17" s="5" t="s">
        <v>19</v>
      </c>
      <c r="D17" s="7" t="n">
        <f aca="false">COUNTA(エージェント一覧!A:A)-1</f>
        <v>4</v>
      </c>
    </row>
    <row r="18" customFormat="false" ht="15" hidden="false" customHeight="false" outlineLevel="0" collapsed="false">
      <c r="B18" s="5" t="s">
        <v>20</v>
      </c>
      <c r="C18" s="6" t="s">
        <v>21</v>
      </c>
      <c r="D18" s="7" t="n">
        <f aca="false">COUNTA(フック一覧!B:B)-1</f>
        <v>5</v>
      </c>
    </row>
    <row r="19" customFormat="false" ht="15" hidden="false" customHeight="false" outlineLevel="0" collapsed="false">
      <c r="B19" s="6" t="s">
        <v>22</v>
      </c>
      <c r="C19" s="6" t="s">
        <v>23</v>
      </c>
      <c r="D19" s="7" t="n">
        <f aca="false">COUNTA(コマンド一覧!B:B)-1</f>
        <v>12</v>
      </c>
    </row>
    <row r="20" customFormat="false" ht="15" hidden="false" customHeight="false" outlineLevel="0" collapsed="false">
      <c r="B20" s="5" t="s">
        <v>24</v>
      </c>
      <c r="C20" s="5" t="s">
        <v>25</v>
      </c>
      <c r="D20" s="7" t="n">
        <f aca="false">COUNTA(書籍対応表!B:B)-1</f>
        <v>83</v>
      </c>
    </row>
    <row r="22" customFormat="false" ht="15" hidden="false" customHeight="false" outlineLevel="0" collapsed="false">
      <c r="B22" s="3" t="s">
        <v>26</v>
      </c>
    </row>
    <row r="23" customFormat="false" ht="15" hidden="false" customHeight="false" outlineLevel="0" collapsed="false">
      <c r="B23" s="8" t="s">
        <v>27</v>
      </c>
      <c r="C23" s="9" t="s">
        <v>28</v>
      </c>
      <c r="D23" s="9"/>
    </row>
    <row r="24" customFormat="false" ht="15" hidden="false" customHeight="false" outlineLevel="0" collapsed="false">
      <c r="B24" s="8" t="s">
        <v>29</v>
      </c>
      <c r="C24" s="9" t="s">
        <v>30</v>
      </c>
      <c r="D24" s="9"/>
    </row>
    <row r="25" customFormat="false" ht="15" hidden="false" customHeight="false" outlineLevel="0" collapsed="false">
      <c r="B25" s="8" t="s">
        <v>31</v>
      </c>
      <c r="C25" s="9" t="s">
        <v>32</v>
      </c>
      <c r="D25" s="9"/>
    </row>
    <row r="26" customFormat="false" ht="15" hidden="false" customHeight="false" outlineLevel="0" collapsed="false">
      <c r="B26" s="8" t="s">
        <v>33</v>
      </c>
      <c r="C26" s="9" t="s">
        <v>34</v>
      </c>
      <c r="D26" s="9"/>
    </row>
    <row r="27" customFormat="false" ht="15" hidden="false" customHeight="false" outlineLevel="0" collapsed="false">
      <c r="B27" s="8" t="s">
        <v>35</v>
      </c>
      <c r="C27" s="9" t="s">
        <v>36</v>
      </c>
      <c r="D27" s="9"/>
    </row>
    <row r="28" customFormat="false" ht="15" hidden="false" customHeight="false" outlineLevel="0" collapsed="false">
      <c r="B28" s="8" t="s">
        <v>37</v>
      </c>
      <c r="C28" s="9" t="s">
        <v>38</v>
      </c>
      <c r="D28" s="9"/>
    </row>
    <row r="29" customFormat="false" ht="15" hidden="false" customHeight="false" outlineLevel="0" collapsed="false">
      <c r="B29" s="8" t="s">
        <v>39</v>
      </c>
      <c r="C29" s="10" t="s">
        <v>40</v>
      </c>
      <c r="D29" s="10"/>
    </row>
    <row r="30" customFormat="false" ht="15" hidden="false" customHeight="false" outlineLevel="0" collapsed="false">
      <c r="B30" s="8" t="s">
        <v>41</v>
      </c>
      <c r="C30" s="9" t="s">
        <v>42</v>
      </c>
      <c r="D30" s="9"/>
    </row>
    <row r="31" customFormat="false" ht="15" hidden="false" customHeight="false" outlineLevel="0" collapsed="false">
      <c r="B31" s="8" t="s">
        <v>43</v>
      </c>
      <c r="C31" s="9" t="s">
        <v>44</v>
      </c>
      <c r="D31" s="9"/>
    </row>
    <row r="32" customFormat="false" ht="15" hidden="false" customHeight="false" outlineLevel="0" collapsed="false">
      <c r="B32" s="8" t="s">
        <v>45</v>
      </c>
      <c r="C32" s="10" t="s">
        <v>46</v>
      </c>
      <c r="D32" s="10"/>
    </row>
    <row r="33" customFormat="false" ht="15" hidden="false" customHeight="false" outlineLevel="0" collapsed="false">
      <c r="B33" s="8" t="s">
        <v>47</v>
      </c>
      <c r="C33" s="10" t="s">
        <v>48</v>
      </c>
      <c r="D33" s="10"/>
    </row>
    <row r="34" customFormat="false" ht="15" hidden="false" customHeight="false" outlineLevel="0" collapsed="false">
      <c r="B34" s="8" t="s">
        <v>49</v>
      </c>
      <c r="C34" s="9" t="s">
        <v>50</v>
      </c>
      <c r="D34" s="9"/>
    </row>
    <row r="35" customFormat="false" ht="15" hidden="false" customHeight="false" outlineLevel="0" collapsed="false">
      <c r="B35" s="8" t="s">
        <v>51</v>
      </c>
      <c r="C35" s="9" t="s">
        <v>52</v>
      </c>
      <c r="D35" s="9"/>
    </row>
    <row r="37" customFormat="false" ht="15" hidden="false" customHeight="false" outlineLevel="0" collapsed="false">
      <c r="B37" s="11" t="s">
        <v>53</v>
      </c>
    </row>
    <row r="38" customFormat="false" ht="15" hidden="false" customHeight="false" outlineLevel="0" collapsed="false">
      <c r="B38" s="11" t="s">
        <v>54</v>
      </c>
    </row>
  </sheetData>
  <mergeCells count="17">
    <mergeCell ref="B6:D6"/>
    <mergeCell ref="B7:D7"/>
    <mergeCell ref="B8:D8"/>
    <mergeCell ref="B9:D9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</mergeCells>
  <hyperlinks>
    <hyperlink ref="B23" r:id="rId1" location="'作業別ガイド'!A1" display="作業別ガイド"/>
    <hyperlink ref="B24" r:id="rId2" location="'導入手順'!A1" display="導入手順"/>
    <hyperlink ref="B25" r:id="rId3" location="'困ったとき'!A1" display="困ったとき"/>
    <hyperlink ref="B26" r:id="rId4" location="'スキル一覧'!A1" display="スキル一覧"/>
    <hyperlink ref="B27" r:id="rId5" location="'エージェント一覧'!A1" display="エージェント一覧"/>
    <hyperlink ref="B28" r:id="rId6" location="'フック一覧'!A1" display="フック一覧"/>
    <hyperlink ref="B29" r:id="rId7" location="'原則一覧'!A1" display="原則一覧"/>
    <hyperlink ref="B30" r:id="rId8" location="'ルール一覧'!A1" display="ルール一覧"/>
    <hyperlink ref="B31" r:id="rId9" location="'言語別集計'!A1" display="言語別集計"/>
    <hyperlink ref="B32" r:id="rId10" location="'コマンド一覧'!A1" display="コマンド一覧"/>
    <hyperlink ref="B33" r:id="rId11" location="'設定項目'!A1" display="設定項目"/>
    <hyperlink ref="B34" r:id="rId12" location="'書籍対応表'!A1" display="書籍対応表"/>
    <hyperlink ref="B35" r:id="rId13" location="'ファイル構成'!A1" display="ファイル構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2" t="s">
        <v>55</v>
      </c>
    </row>
    <row r="3" customFormat="false" ht="30" hidden="false" customHeight="true" outlineLevel="0" collapsed="false">
      <c r="A3" s="13" t="s">
        <v>56</v>
      </c>
      <c r="B3" s="13" t="s">
        <v>57</v>
      </c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</row>
    <row r="4" customFormat="false" ht="29.85" hidden="false" customHeight="false" outlineLevel="0" collapsed="false">
      <c r="A4" s="14" t="s">
        <v>64</v>
      </c>
      <c r="B4" s="15" t="s">
        <v>65</v>
      </c>
      <c r="C4" s="16" t="s">
        <v>66</v>
      </c>
      <c r="D4" s="16" t="s">
        <v>66</v>
      </c>
      <c r="E4" s="16" t="s">
        <v>67</v>
      </c>
      <c r="F4" s="16" t="s">
        <v>68</v>
      </c>
      <c r="G4" s="16" t="s">
        <v>66</v>
      </c>
      <c r="H4" s="15" t="s">
        <v>69</v>
      </c>
    </row>
    <row r="5" customFormat="false" ht="41" hidden="false" customHeight="false" outlineLevel="0" collapsed="false">
      <c r="A5" s="14" t="s">
        <v>64</v>
      </c>
      <c r="B5" s="15" t="s">
        <v>70</v>
      </c>
      <c r="C5" s="15" t="s">
        <v>71</v>
      </c>
      <c r="D5" s="16" t="s">
        <v>66</v>
      </c>
      <c r="E5" s="16" t="s">
        <v>72</v>
      </c>
      <c r="F5" s="16" t="s">
        <v>73</v>
      </c>
      <c r="G5" s="15" t="s">
        <v>74</v>
      </c>
      <c r="H5" s="15" t="s">
        <v>75</v>
      </c>
    </row>
    <row r="6" customFormat="false" ht="29.85" hidden="false" customHeight="false" outlineLevel="0" collapsed="false">
      <c r="A6" s="17" t="s">
        <v>76</v>
      </c>
      <c r="B6" s="15" t="s">
        <v>77</v>
      </c>
      <c r="C6" s="16" t="s">
        <v>78</v>
      </c>
      <c r="D6" s="16" t="s">
        <v>79</v>
      </c>
      <c r="E6" s="16" t="s">
        <v>66</v>
      </c>
      <c r="F6" s="16" t="s">
        <v>80</v>
      </c>
      <c r="G6" s="16" t="s">
        <v>66</v>
      </c>
      <c r="H6" s="15" t="s">
        <v>81</v>
      </c>
    </row>
    <row r="7" customFormat="false" ht="29.85" hidden="false" customHeight="false" outlineLevel="0" collapsed="false">
      <c r="A7" s="17" t="s">
        <v>76</v>
      </c>
      <c r="B7" s="15" t="s">
        <v>82</v>
      </c>
      <c r="C7" s="16" t="s">
        <v>78</v>
      </c>
      <c r="D7" s="16" t="s">
        <v>79</v>
      </c>
      <c r="E7" s="16" t="s">
        <v>66</v>
      </c>
      <c r="F7" s="16" t="s">
        <v>83</v>
      </c>
      <c r="G7" s="16" t="s">
        <v>66</v>
      </c>
      <c r="H7" s="15" t="s">
        <v>84</v>
      </c>
    </row>
    <row r="8" customFormat="false" ht="29.85" hidden="false" customHeight="false" outlineLevel="0" collapsed="false">
      <c r="A8" s="18" t="s">
        <v>85</v>
      </c>
      <c r="B8" s="15" t="s">
        <v>86</v>
      </c>
      <c r="C8" s="16" t="s">
        <v>87</v>
      </c>
      <c r="D8" s="16" t="s">
        <v>88</v>
      </c>
      <c r="E8" s="16" t="s">
        <v>89</v>
      </c>
      <c r="F8" s="16" t="s">
        <v>90</v>
      </c>
      <c r="G8" s="16" t="s">
        <v>91</v>
      </c>
      <c r="H8" s="16" t="s">
        <v>92</v>
      </c>
    </row>
    <row r="9" customFormat="false" ht="29.85" hidden="false" customHeight="false" outlineLevel="0" collapsed="false">
      <c r="A9" s="18" t="s">
        <v>85</v>
      </c>
      <c r="B9" s="15" t="s">
        <v>93</v>
      </c>
      <c r="C9" s="16" t="s">
        <v>87</v>
      </c>
      <c r="D9" s="16" t="s">
        <v>94</v>
      </c>
      <c r="E9" s="16" t="s">
        <v>66</v>
      </c>
      <c r="F9" s="16" t="s">
        <v>95</v>
      </c>
      <c r="G9" s="16" t="s">
        <v>96</v>
      </c>
      <c r="H9" s="15" t="s">
        <v>97</v>
      </c>
    </row>
    <row r="10" customFormat="false" ht="29.85" hidden="false" customHeight="false" outlineLevel="0" collapsed="false">
      <c r="A10" s="18" t="s">
        <v>98</v>
      </c>
      <c r="B10" s="15" t="s">
        <v>99</v>
      </c>
      <c r="C10" s="16" t="s">
        <v>100</v>
      </c>
      <c r="D10" s="16" t="s">
        <v>101</v>
      </c>
      <c r="E10" s="16" t="s">
        <v>102</v>
      </c>
      <c r="F10" s="16" t="s">
        <v>103</v>
      </c>
      <c r="G10" s="16" t="s">
        <v>104</v>
      </c>
      <c r="H10" s="15" t="s">
        <v>105</v>
      </c>
    </row>
    <row r="11" customFormat="false" ht="29.85" hidden="false" customHeight="false" outlineLevel="0" collapsed="false">
      <c r="A11" s="19" t="s">
        <v>106</v>
      </c>
      <c r="B11" s="15" t="s">
        <v>107</v>
      </c>
      <c r="C11" s="16" t="s">
        <v>108</v>
      </c>
      <c r="D11" s="16" t="s">
        <v>88</v>
      </c>
      <c r="E11" s="16" t="s">
        <v>66</v>
      </c>
      <c r="F11" s="16" t="s">
        <v>109</v>
      </c>
      <c r="G11" s="16" t="s">
        <v>110</v>
      </c>
      <c r="H11" s="15" t="s">
        <v>111</v>
      </c>
    </row>
    <row r="12" customFormat="false" ht="29.85" hidden="false" customHeight="false" outlineLevel="0" collapsed="false">
      <c r="A12" s="19" t="s">
        <v>106</v>
      </c>
      <c r="B12" s="15" t="s">
        <v>112</v>
      </c>
      <c r="C12" s="16" t="s">
        <v>113</v>
      </c>
      <c r="D12" s="16" t="s">
        <v>88</v>
      </c>
      <c r="E12" s="16" t="s">
        <v>66</v>
      </c>
      <c r="F12" s="16" t="s">
        <v>114</v>
      </c>
      <c r="G12" s="16" t="s">
        <v>115</v>
      </c>
      <c r="H12" s="16" t="s">
        <v>116</v>
      </c>
    </row>
    <row r="13" customFormat="false" ht="29.85" hidden="false" customHeight="false" outlineLevel="0" collapsed="false">
      <c r="A13" s="19" t="s">
        <v>106</v>
      </c>
      <c r="B13" s="16" t="s">
        <v>117</v>
      </c>
      <c r="C13" s="16" t="s">
        <v>118</v>
      </c>
      <c r="D13" s="16" t="s">
        <v>88</v>
      </c>
      <c r="E13" s="16" t="s">
        <v>66</v>
      </c>
      <c r="F13" s="16" t="s">
        <v>119</v>
      </c>
      <c r="G13" s="16" t="s">
        <v>120</v>
      </c>
      <c r="H13" s="15" t="s">
        <v>121</v>
      </c>
    </row>
    <row r="14" customFormat="false" ht="29.85" hidden="false" customHeight="false" outlineLevel="0" collapsed="false">
      <c r="A14" s="19" t="s">
        <v>106</v>
      </c>
      <c r="B14" s="15" t="s">
        <v>122</v>
      </c>
      <c r="C14" s="16" t="s">
        <v>123</v>
      </c>
      <c r="D14" s="16" t="s">
        <v>88</v>
      </c>
      <c r="E14" s="16" t="s">
        <v>124</v>
      </c>
      <c r="F14" s="16" t="s">
        <v>125</v>
      </c>
      <c r="G14" s="16" t="s">
        <v>126</v>
      </c>
      <c r="H14" s="15" t="s">
        <v>127</v>
      </c>
    </row>
    <row r="15" customFormat="false" ht="15" hidden="false" customHeight="false" outlineLevel="0" collapsed="false">
      <c r="A15" s="19" t="s">
        <v>106</v>
      </c>
      <c r="B15" s="15" t="s">
        <v>128</v>
      </c>
      <c r="C15" s="16" t="s">
        <v>108</v>
      </c>
      <c r="D15" s="16" t="s">
        <v>66</v>
      </c>
      <c r="E15" s="16" t="s">
        <v>66</v>
      </c>
      <c r="F15" s="16" t="s">
        <v>129</v>
      </c>
      <c r="G15" s="16" t="s">
        <v>66</v>
      </c>
      <c r="H15" s="15" t="s">
        <v>130</v>
      </c>
    </row>
    <row r="16" customFormat="false" ht="29.85" hidden="false" customHeight="false" outlineLevel="0" collapsed="false">
      <c r="A16" s="20" t="s">
        <v>131</v>
      </c>
      <c r="B16" s="15" t="s">
        <v>132</v>
      </c>
      <c r="C16" s="16" t="s">
        <v>133</v>
      </c>
      <c r="D16" s="16" t="s">
        <v>134</v>
      </c>
      <c r="E16" s="16" t="s">
        <v>135</v>
      </c>
      <c r="F16" s="15" t="s">
        <v>136</v>
      </c>
      <c r="G16" s="16" t="s">
        <v>137</v>
      </c>
      <c r="H16" s="16" t="s">
        <v>138</v>
      </c>
    </row>
    <row r="17" customFormat="false" ht="29.85" hidden="false" customHeight="false" outlineLevel="0" collapsed="false">
      <c r="A17" s="20" t="s">
        <v>131</v>
      </c>
      <c r="B17" s="15" t="s">
        <v>139</v>
      </c>
      <c r="C17" s="16" t="s">
        <v>140</v>
      </c>
      <c r="D17" s="16" t="s">
        <v>141</v>
      </c>
      <c r="E17" s="16" t="s">
        <v>142</v>
      </c>
      <c r="F17" s="16" t="s">
        <v>66</v>
      </c>
      <c r="G17" s="16" t="s">
        <v>66</v>
      </c>
      <c r="H17" s="15" t="s">
        <v>143</v>
      </c>
    </row>
    <row r="18" customFormat="false" ht="29.85" hidden="false" customHeight="false" outlineLevel="0" collapsed="false">
      <c r="A18" s="21" t="s">
        <v>144</v>
      </c>
      <c r="B18" s="15" t="s">
        <v>145</v>
      </c>
      <c r="C18" s="16" t="s">
        <v>146</v>
      </c>
      <c r="D18" s="16" t="s">
        <v>94</v>
      </c>
      <c r="E18" s="16" t="s">
        <v>147</v>
      </c>
      <c r="F18" s="16" t="s">
        <v>148</v>
      </c>
      <c r="G18" s="15" t="s">
        <v>149</v>
      </c>
      <c r="H18" s="15" t="s">
        <v>150</v>
      </c>
    </row>
    <row r="19" customFormat="false" ht="29.85" hidden="false" customHeight="false" outlineLevel="0" collapsed="false">
      <c r="A19" s="21" t="s">
        <v>144</v>
      </c>
      <c r="B19" s="15" t="s">
        <v>151</v>
      </c>
      <c r="C19" s="16" t="s">
        <v>152</v>
      </c>
      <c r="D19" s="16" t="s">
        <v>153</v>
      </c>
      <c r="E19" s="16" t="s">
        <v>154</v>
      </c>
      <c r="F19" s="15" t="s">
        <v>155</v>
      </c>
      <c r="G19" s="16" t="s">
        <v>156</v>
      </c>
      <c r="H19" s="15" t="s">
        <v>157</v>
      </c>
    </row>
    <row r="20" customFormat="false" ht="29.85" hidden="false" customHeight="false" outlineLevel="0" collapsed="false">
      <c r="A20" s="22" t="s">
        <v>158</v>
      </c>
      <c r="B20" s="15" t="s">
        <v>159</v>
      </c>
      <c r="C20" s="16" t="s">
        <v>160</v>
      </c>
      <c r="D20" s="16" t="s">
        <v>94</v>
      </c>
      <c r="E20" s="16" t="s">
        <v>161</v>
      </c>
      <c r="F20" s="15" t="s">
        <v>162</v>
      </c>
      <c r="G20" s="16" t="s">
        <v>163</v>
      </c>
      <c r="H20" s="15" t="s">
        <v>164</v>
      </c>
    </row>
    <row r="21" customFormat="false" ht="23.85" hidden="false" customHeight="false" outlineLevel="0" collapsed="false">
      <c r="A21" s="14" t="s">
        <v>165</v>
      </c>
      <c r="B21" s="15" t="s">
        <v>166</v>
      </c>
      <c r="C21" s="16" t="s">
        <v>66</v>
      </c>
      <c r="D21" s="16" t="s">
        <v>88</v>
      </c>
      <c r="E21" s="16" t="s">
        <v>135</v>
      </c>
      <c r="F21" s="15" t="s">
        <v>167</v>
      </c>
      <c r="G21" s="16" t="s">
        <v>66</v>
      </c>
      <c r="H21" s="16" t="s">
        <v>168</v>
      </c>
    </row>
    <row r="22" customFormat="false" ht="29.85" hidden="false" customHeight="false" outlineLevel="0" collapsed="false">
      <c r="A22" s="23" t="s">
        <v>169</v>
      </c>
      <c r="B22" s="15" t="s">
        <v>170</v>
      </c>
      <c r="C22" s="16" t="s">
        <v>171</v>
      </c>
      <c r="D22" s="16" t="s">
        <v>172</v>
      </c>
      <c r="E22" s="16" t="s">
        <v>173</v>
      </c>
      <c r="F22" s="16" t="s">
        <v>174</v>
      </c>
      <c r="G22" s="16" t="s">
        <v>175</v>
      </c>
      <c r="H22" s="16" t="s">
        <v>176</v>
      </c>
    </row>
    <row r="23" customFormat="false" ht="29.85" hidden="false" customHeight="false" outlineLevel="0" collapsed="false">
      <c r="A23" s="14" t="s">
        <v>177</v>
      </c>
      <c r="B23" s="15" t="s">
        <v>178</v>
      </c>
      <c r="C23" s="16" t="s">
        <v>179</v>
      </c>
      <c r="D23" s="16" t="s">
        <v>66</v>
      </c>
      <c r="E23" s="16" t="s">
        <v>180</v>
      </c>
      <c r="F23" s="16" t="s">
        <v>181</v>
      </c>
      <c r="G23" s="16" t="s">
        <v>66</v>
      </c>
      <c r="H23" s="15" t="s">
        <v>182</v>
      </c>
    </row>
    <row r="24" customFormat="false" ht="23.85" hidden="false" customHeight="false" outlineLevel="0" collapsed="false">
      <c r="A24" s="17" t="s">
        <v>183</v>
      </c>
      <c r="B24" s="15" t="s">
        <v>184</v>
      </c>
      <c r="C24" s="16" t="s">
        <v>152</v>
      </c>
      <c r="D24" s="16" t="s">
        <v>141</v>
      </c>
      <c r="E24" s="16" t="s">
        <v>185</v>
      </c>
      <c r="F24" s="16" t="s">
        <v>66</v>
      </c>
      <c r="G24" s="16" t="s">
        <v>186</v>
      </c>
      <c r="H24" s="15" t="s">
        <v>187</v>
      </c>
    </row>
    <row r="25" customFormat="false" ht="26.85" hidden="false" customHeight="false" outlineLevel="0" collapsed="false">
      <c r="A25" s="14" t="s">
        <v>188</v>
      </c>
      <c r="B25" s="15" t="s">
        <v>189</v>
      </c>
      <c r="C25" s="16" t="s">
        <v>66</v>
      </c>
      <c r="D25" s="16" t="s">
        <v>66</v>
      </c>
      <c r="E25" s="16" t="s">
        <v>190</v>
      </c>
      <c r="F25" s="16" t="s">
        <v>191</v>
      </c>
      <c r="G25" s="16" t="s">
        <v>192</v>
      </c>
      <c r="H25" s="16" t="s">
        <v>193</v>
      </c>
    </row>
    <row r="26" customFormat="false" ht="29.85" hidden="false" customHeight="false" outlineLevel="0" collapsed="false">
      <c r="A26" s="14" t="s">
        <v>194</v>
      </c>
      <c r="B26" s="15" t="s">
        <v>195</v>
      </c>
      <c r="C26" s="16" t="s">
        <v>66</v>
      </c>
      <c r="D26" s="16" t="s">
        <v>66</v>
      </c>
      <c r="E26" s="16" t="s">
        <v>66</v>
      </c>
      <c r="F26" s="16" t="s">
        <v>68</v>
      </c>
      <c r="G26" s="16" t="s">
        <v>66</v>
      </c>
      <c r="H26" s="15" t="s">
        <v>196</v>
      </c>
    </row>
  </sheetData>
  <autoFilter ref="A3:H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24" t="s">
        <v>197</v>
      </c>
    </row>
    <row r="3" customFormat="false" ht="30" hidden="false" customHeight="true" outlineLevel="0" collapsed="false">
      <c r="A3" s="13" t="s">
        <v>198</v>
      </c>
      <c r="B3" s="13" t="s">
        <v>199</v>
      </c>
      <c r="C3" s="13" t="s">
        <v>200</v>
      </c>
      <c r="D3" s="13" t="s">
        <v>201</v>
      </c>
    </row>
    <row r="4" customFormat="false" ht="29.85" hidden="false" customHeight="false" outlineLevel="0" collapsed="false">
      <c r="A4" s="16" t="s">
        <v>202</v>
      </c>
      <c r="B4" s="15" t="s">
        <v>203</v>
      </c>
      <c r="C4" s="16" t="s">
        <v>204</v>
      </c>
      <c r="D4" s="16" t="s">
        <v>66</v>
      </c>
    </row>
    <row r="5" customFormat="false" ht="15" hidden="false" customHeight="false" outlineLevel="0" collapsed="false">
      <c r="A5" s="16" t="s">
        <v>205</v>
      </c>
      <c r="B5" s="15" t="s">
        <v>206</v>
      </c>
      <c r="C5" s="16" t="s">
        <v>207</v>
      </c>
      <c r="D5" s="16" t="s">
        <v>208</v>
      </c>
    </row>
    <row r="6" customFormat="false" ht="15" hidden="false" customHeight="false" outlineLevel="0" collapsed="false">
      <c r="A6" s="16" t="s">
        <v>209</v>
      </c>
      <c r="B6" s="15" t="s">
        <v>210</v>
      </c>
      <c r="C6" s="15" t="s">
        <v>211</v>
      </c>
      <c r="D6" s="16" t="s">
        <v>212</v>
      </c>
    </row>
    <row r="7" customFormat="false" ht="29.85" hidden="false" customHeight="false" outlineLevel="0" collapsed="false">
      <c r="A7" s="16" t="s">
        <v>213</v>
      </c>
      <c r="B7" s="15" t="s">
        <v>214</v>
      </c>
      <c r="C7" s="16" t="s">
        <v>215</v>
      </c>
      <c r="D7" s="16" t="s">
        <v>66</v>
      </c>
    </row>
    <row r="8" customFormat="false" ht="15" hidden="false" customHeight="false" outlineLevel="0" collapsed="false">
      <c r="A8" s="16" t="s">
        <v>216</v>
      </c>
      <c r="B8" s="15" t="s">
        <v>217</v>
      </c>
      <c r="C8" s="15" t="s">
        <v>218</v>
      </c>
      <c r="D8" s="16" t="s">
        <v>219</v>
      </c>
    </row>
    <row r="9" customFormat="false" ht="29.85" hidden="false" customHeight="false" outlineLevel="0" collapsed="false">
      <c r="A9" s="16" t="s">
        <v>220</v>
      </c>
      <c r="B9" s="15" t="s">
        <v>221</v>
      </c>
      <c r="C9" s="16" t="s">
        <v>222</v>
      </c>
      <c r="D9" s="16" t="s">
        <v>223</v>
      </c>
    </row>
    <row r="10" customFormat="false" ht="26.85" hidden="false" customHeight="false" outlineLevel="0" collapsed="false">
      <c r="A10" s="16" t="s">
        <v>224</v>
      </c>
      <c r="B10" s="15" t="s">
        <v>225</v>
      </c>
      <c r="C10" s="16" t="s">
        <v>226</v>
      </c>
      <c r="D10" s="16" t="s">
        <v>66</v>
      </c>
    </row>
    <row r="11" customFormat="false" ht="15" hidden="false" customHeight="false" outlineLevel="0" collapsed="false">
      <c r="A11" s="16" t="s">
        <v>227</v>
      </c>
      <c r="B11" s="15" t="s">
        <v>228</v>
      </c>
      <c r="C11" s="15" t="s">
        <v>229</v>
      </c>
      <c r="D11" s="16" t="s">
        <v>230</v>
      </c>
    </row>
    <row r="12" customFormat="false" ht="15" hidden="false" customHeight="false" outlineLevel="0" collapsed="false">
      <c r="A12" s="16" t="s">
        <v>231</v>
      </c>
      <c r="B12" s="15" t="s">
        <v>232</v>
      </c>
      <c r="C12" s="16" t="s">
        <v>233</v>
      </c>
      <c r="D12" s="16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3" t="s">
        <v>235</v>
      </c>
      <c r="B1" s="13" t="s">
        <v>236</v>
      </c>
      <c r="C1" s="13" t="s">
        <v>237</v>
      </c>
    </row>
    <row r="2" customFormat="false" ht="29.85" hidden="false" customHeight="false" outlineLevel="0" collapsed="false">
      <c r="A2" s="16" t="s">
        <v>238</v>
      </c>
      <c r="B2" s="15" t="s">
        <v>239</v>
      </c>
      <c r="C2" s="16" t="s">
        <v>240</v>
      </c>
    </row>
    <row r="3" customFormat="false" ht="15" hidden="false" customHeight="false" outlineLevel="0" collapsed="false">
      <c r="A3" s="15" t="s">
        <v>241</v>
      </c>
      <c r="B3" s="15" t="s">
        <v>242</v>
      </c>
      <c r="C3" s="15" t="s">
        <v>243</v>
      </c>
    </row>
    <row r="4" customFormat="false" ht="15" hidden="false" customHeight="false" outlineLevel="0" collapsed="false">
      <c r="A4" s="16" t="s">
        <v>244</v>
      </c>
      <c r="B4" s="15" t="s">
        <v>245</v>
      </c>
      <c r="C4" s="16" t="s">
        <v>246</v>
      </c>
    </row>
    <row r="5" customFormat="false" ht="29.85" hidden="false" customHeight="false" outlineLevel="0" collapsed="false">
      <c r="A5" s="15" t="s">
        <v>247</v>
      </c>
      <c r="B5" s="15" t="s">
        <v>248</v>
      </c>
      <c r="C5" s="16" t="s">
        <v>249</v>
      </c>
    </row>
    <row r="6" customFormat="false" ht="29.85" hidden="false" customHeight="false" outlineLevel="0" collapsed="false">
      <c r="A6" s="15" t="s">
        <v>250</v>
      </c>
      <c r="B6" s="15" t="s">
        <v>251</v>
      </c>
      <c r="C6" s="16" t="s">
        <v>252</v>
      </c>
    </row>
    <row r="7" customFormat="false" ht="29.85" hidden="false" customHeight="false" outlineLevel="0" collapsed="false">
      <c r="A7" s="15" t="s">
        <v>253</v>
      </c>
      <c r="B7" s="16" t="s">
        <v>254</v>
      </c>
      <c r="C7" s="15" t="s">
        <v>255</v>
      </c>
    </row>
    <row r="8" customFormat="false" ht="29.85" hidden="false" customHeight="false" outlineLevel="0" collapsed="false">
      <c r="A8" s="15" t="s">
        <v>256</v>
      </c>
      <c r="B8" s="15" t="s">
        <v>257</v>
      </c>
      <c r="C8" s="15" t="s">
        <v>258</v>
      </c>
    </row>
    <row r="9" customFormat="false" ht="29.85" hidden="false" customHeight="false" outlineLevel="0" collapsed="false">
      <c r="A9" s="15" t="s">
        <v>259</v>
      </c>
      <c r="B9" s="15" t="s">
        <v>260</v>
      </c>
      <c r="C9" s="16" t="s">
        <v>261</v>
      </c>
    </row>
    <row r="10" customFormat="false" ht="15" hidden="false" customHeight="false" outlineLevel="0" collapsed="false">
      <c r="A10" s="16" t="s">
        <v>262</v>
      </c>
      <c r="B10" s="16" t="s">
        <v>263</v>
      </c>
      <c r="C10" s="15" t="s">
        <v>264</v>
      </c>
    </row>
    <row r="11" customFormat="false" ht="29.85" hidden="false" customHeight="false" outlineLevel="0" collapsed="false">
      <c r="A11" s="16" t="s">
        <v>265</v>
      </c>
      <c r="B11" s="16" t="s">
        <v>266</v>
      </c>
      <c r="C11" s="15" t="s">
        <v>267</v>
      </c>
    </row>
    <row r="12" customFormat="false" ht="29.85" hidden="false" customHeight="false" outlineLevel="0" collapsed="false">
      <c r="A12" s="15" t="s">
        <v>268</v>
      </c>
      <c r="B12" s="15" t="s">
        <v>269</v>
      </c>
      <c r="C12" s="15" t="s">
        <v>270</v>
      </c>
    </row>
    <row r="13" customFormat="false" ht="29.85" hidden="false" customHeight="false" outlineLevel="0" collapsed="false">
      <c r="A13" s="15" t="s">
        <v>271</v>
      </c>
      <c r="B13" s="15" t="s">
        <v>272</v>
      </c>
      <c r="C13" s="15" t="s">
        <v>273</v>
      </c>
    </row>
    <row r="14" customFormat="false" ht="15" hidden="false" customHeight="false" outlineLevel="0" collapsed="false">
      <c r="A14" s="15" t="s">
        <v>274</v>
      </c>
      <c r="B14" s="15" t="s">
        <v>275</v>
      </c>
      <c r="C14" s="16" t="s">
        <v>276</v>
      </c>
    </row>
    <row r="15" customFormat="false" ht="15" hidden="false" customHeight="false" outlineLevel="0" collapsed="false">
      <c r="A15" s="16" t="s">
        <v>277</v>
      </c>
      <c r="B15" s="16" t="s">
        <v>278</v>
      </c>
      <c r="C15" s="16" t="s">
        <v>279</v>
      </c>
    </row>
    <row r="16" customFormat="false" ht="29.85" hidden="false" customHeight="false" outlineLevel="0" collapsed="false">
      <c r="A16" s="15" t="s">
        <v>280</v>
      </c>
      <c r="B16" s="15" t="s">
        <v>281</v>
      </c>
      <c r="C16" s="16" t="s">
        <v>282</v>
      </c>
    </row>
    <row r="17" customFormat="false" ht="15" hidden="false" customHeight="false" outlineLevel="0" collapsed="false">
      <c r="A17" s="16" t="s">
        <v>283</v>
      </c>
      <c r="B17" s="15" t="s">
        <v>284</v>
      </c>
      <c r="C17" s="16" t="s">
        <v>208</v>
      </c>
    </row>
  </sheetData>
  <autoFilter ref="A1:C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34"/>
    <col collapsed="false" customWidth="true" hidden="false" outlineLevel="0" max="7" min="7" style="0" width="7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3" t="s">
        <v>16</v>
      </c>
      <c r="B1" s="13" t="s">
        <v>285</v>
      </c>
      <c r="C1" s="13" t="s">
        <v>286</v>
      </c>
      <c r="D1" s="13" t="s">
        <v>287</v>
      </c>
      <c r="E1" s="13" t="s">
        <v>288</v>
      </c>
      <c r="F1" s="13" t="s">
        <v>289</v>
      </c>
      <c r="G1" s="13" t="s">
        <v>290</v>
      </c>
      <c r="H1" s="13" t="s">
        <v>291</v>
      </c>
    </row>
    <row r="2" customFormat="false" ht="44" hidden="false" customHeight="false" outlineLevel="0" collapsed="false">
      <c r="A2" s="16" t="s">
        <v>87</v>
      </c>
      <c r="B2" s="25" t="s">
        <v>286</v>
      </c>
      <c r="C2" s="16" t="s">
        <v>292</v>
      </c>
      <c r="D2" s="15" t="s">
        <v>293</v>
      </c>
      <c r="E2" s="15" t="s">
        <v>294</v>
      </c>
      <c r="F2" s="16" t="s">
        <v>90</v>
      </c>
      <c r="G2" s="15" t="s">
        <v>295</v>
      </c>
      <c r="H2" s="15"/>
    </row>
    <row r="3" customFormat="false" ht="44" hidden="false" customHeight="false" outlineLevel="0" collapsed="false">
      <c r="A3" s="16" t="s">
        <v>296</v>
      </c>
      <c r="B3" s="25" t="s">
        <v>286</v>
      </c>
      <c r="C3" s="16" t="s">
        <v>297</v>
      </c>
      <c r="D3" s="16" t="s">
        <v>213</v>
      </c>
      <c r="E3" s="15" t="s">
        <v>298</v>
      </c>
      <c r="F3" s="16" t="s">
        <v>103</v>
      </c>
      <c r="G3" s="15" t="s">
        <v>299</v>
      </c>
      <c r="H3" s="15"/>
    </row>
    <row r="4" customFormat="false" ht="29.85" hidden="false" customHeight="false" outlineLevel="0" collapsed="false">
      <c r="A4" s="16" t="s">
        <v>108</v>
      </c>
      <c r="B4" s="25" t="s">
        <v>286</v>
      </c>
      <c r="C4" s="16" t="s">
        <v>300</v>
      </c>
      <c r="D4" s="16" t="s">
        <v>301</v>
      </c>
      <c r="E4" s="15" t="s">
        <v>302</v>
      </c>
      <c r="F4" s="16" t="s">
        <v>303</v>
      </c>
      <c r="G4" s="15" t="s">
        <v>304</v>
      </c>
      <c r="H4" s="15"/>
    </row>
    <row r="5" customFormat="false" ht="68.65" hidden="false" customHeight="false" outlineLevel="0" collapsed="false">
      <c r="A5" s="16" t="s">
        <v>305</v>
      </c>
      <c r="B5" s="25" t="s">
        <v>286</v>
      </c>
      <c r="C5" s="16" t="s">
        <v>306</v>
      </c>
      <c r="D5" s="16" t="s">
        <v>307</v>
      </c>
      <c r="E5" s="15" t="s">
        <v>308</v>
      </c>
      <c r="F5" s="15" t="s">
        <v>136</v>
      </c>
      <c r="G5" s="15" t="s">
        <v>309</v>
      </c>
      <c r="H5" s="16" t="s">
        <v>310</v>
      </c>
    </row>
    <row r="6" customFormat="false" ht="29.85" hidden="false" customHeight="false" outlineLevel="0" collapsed="false">
      <c r="A6" s="16" t="s">
        <v>160</v>
      </c>
      <c r="B6" s="25" t="s">
        <v>286</v>
      </c>
      <c r="C6" s="16" t="s">
        <v>311</v>
      </c>
      <c r="D6" s="16" t="s">
        <v>231</v>
      </c>
      <c r="E6" s="15" t="s">
        <v>312</v>
      </c>
      <c r="F6" s="15" t="s">
        <v>313</v>
      </c>
      <c r="G6" s="15" t="s">
        <v>314</v>
      </c>
      <c r="H6" s="15"/>
    </row>
    <row r="7" customFormat="false" ht="44" hidden="false" customHeight="false" outlineLevel="0" collapsed="false">
      <c r="A7" s="16" t="s">
        <v>171</v>
      </c>
      <c r="B7" s="25" t="s">
        <v>286</v>
      </c>
      <c r="C7" s="16" t="s">
        <v>315</v>
      </c>
      <c r="D7" s="16" t="s">
        <v>316</v>
      </c>
      <c r="E7" s="15" t="s">
        <v>317</v>
      </c>
      <c r="F7" s="16" t="s">
        <v>318</v>
      </c>
      <c r="G7" s="15" t="s">
        <v>319</v>
      </c>
      <c r="H7" s="15"/>
    </row>
    <row r="8" customFormat="false" ht="72.35" hidden="false" customHeight="false" outlineLevel="0" collapsed="false">
      <c r="A8" s="16" t="s">
        <v>78</v>
      </c>
      <c r="B8" s="26" t="s">
        <v>320</v>
      </c>
      <c r="C8" s="16" t="s">
        <v>321</v>
      </c>
      <c r="D8" s="16" t="s">
        <v>213</v>
      </c>
      <c r="E8" s="15" t="s">
        <v>322</v>
      </c>
      <c r="F8" s="16" t="s">
        <v>80</v>
      </c>
      <c r="G8" s="15" t="s">
        <v>323</v>
      </c>
      <c r="H8" s="16" t="s">
        <v>324</v>
      </c>
    </row>
    <row r="9" customFormat="false" ht="58.2" hidden="false" customHeight="false" outlineLevel="0" collapsed="false">
      <c r="A9" s="16" t="s">
        <v>113</v>
      </c>
      <c r="B9" s="26" t="s">
        <v>320</v>
      </c>
      <c r="C9" s="16" t="s">
        <v>325</v>
      </c>
      <c r="D9" s="16" t="s">
        <v>224</v>
      </c>
      <c r="E9" s="15" t="s">
        <v>326</v>
      </c>
      <c r="F9" s="16" t="s">
        <v>327</v>
      </c>
      <c r="G9" s="15" t="s">
        <v>328</v>
      </c>
      <c r="H9" s="15"/>
    </row>
    <row r="10" customFormat="false" ht="58.2" hidden="false" customHeight="false" outlineLevel="0" collapsed="false">
      <c r="A10" s="16" t="s">
        <v>118</v>
      </c>
      <c r="B10" s="26" t="s">
        <v>320</v>
      </c>
      <c r="C10" s="16" t="s">
        <v>325</v>
      </c>
      <c r="D10" s="16" t="s">
        <v>227</v>
      </c>
      <c r="E10" s="16" t="s">
        <v>329</v>
      </c>
      <c r="F10" s="16" t="s">
        <v>330</v>
      </c>
      <c r="G10" s="15" t="s">
        <v>331</v>
      </c>
      <c r="H10" s="15"/>
    </row>
    <row r="11" customFormat="false" ht="58.2" hidden="false" customHeight="false" outlineLevel="0" collapsed="false">
      <c r="A11" s="16" t="s">
        <v>123</v>
      </c>
      <c r="B11" s="26" t="s">
        <v>320</v>
      </c>
      <c r="C11" s="16" t="s">
        <v>325</v>
      </c>
      <c r="D11" s="16" t="s">
        <v>220</v>
      </c>
      <c r="E11" s="15" t="s">
        <v>332</v>
      </c>
      <c r="F11" s="16" t="s">
        <v>333</v>
      </c>
      <c r="G11" s="15" t="s">
        <v>334</v>
      </c>
      <c r="H11" s="15"/>
    </row>
    <row r="12" customFormat="false" ht="58.2" hidden="false" customHeight="false" outlineLevel="0" collapsed="false">
      <c r="A12" s="16" t="s">
        <v>152</v>
      </c>
      <c r="B12" s="26" t="s">
        <v>320</v>
      </c>
      <c r="C12" s="15" t="s">
        <v>335</v>
      </c>
      <c r="D12" s="16" t="s">
        <v>336</v>
      </c>
      <c r="E12" s="15" t="s">
        <v>337</v>
      </c>
      <c r="F12" s="15" t="s">
        <v>155</v>
      </c>
      <c r="G12" s="15" t="s">
        <v>338</v>
      </c>
      <c r="H12" s="15"/>
    </row>
    <row r="13" customFormat="false" ht="44" hidden="false" customHeight="false" outlineLevel="0" collapsed="false">
      <c r="A13" s="16" t="s">
        <v>179</v>
      </c>
      <c r="B13" s="26" t="s">
        <v>320</v>
      </c>
      <c r="C13" s="15" t="s">
        <v>177</v>
      </c>
      <c r="D13" s="16" t="s">
        <v>231</v>
      </c>
      <c r="E13" s="15" t="s">
        <v>339</v>
      </c>
      <c r="F13" s="15" t="s">
        <v>340</v>
      </c>
      <c r="G13" s="15" t="s">
        <v>341</v>
      </c>
      <c r="H13" s="15"/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3" t="s">
        <v>342</v>
      </c>
      <c r="B1" s="13" t="s">
        <v>343</v>
      </c>
      <c r="C1" s="13" t="s">
        <v>344</v>
      </c>
      <c r="D1" s="13" t="s">
        <v>345</v>
      </c>
      <c r="E1" s="13" t="s">
        <v>346</v>
      </c>
    </row>
    <row r="2" customFormat="false" ht="29.85" hidden="false" customHeight="false" outlineLevel="0" collapsed="false">
      <c r="A2" s="16" t="s">
        <v>141</v>
      </c>
      <c r="B2" s="15" t="s">
        <v>347</v>
      </c>
      <c r="C2" s="15" t="s">
        <v>348</v>
      </c>
      <c r="D2" s="16" t="s">
        <v>349</v>
      </c>
      <c r="E2" s="15" t="s">
        <v>350</v>
      </c>
    </row>
    <row r="3" customFormat="false" ht="15" hidden="false" customHeight="false" outlineLevel="0" collapsed="false">
      <c r="A3" s="16" t="s">
        <v>88</v>
      </c>
      <c r="B3" s="15" t="s">
        <v>351</v>
      </c>
      <c r="C3" s="15" t="s">
        <v>352</v>
      </c>
      <c r="D3" s="16" t="s">
        <v>349</v>
      </c>
      <c r="E3" s="15" t="s">
        <v>350</v>
      </c>
    </row>
    <row r="4" customFormat="false" ht="29.85" hidden="false" customHeight="false" outlineLevel="0" collapsed="false">
      <c r="A4" s="16" t="s">
        <v>79</v>
      </c>
      <c r="B4" s="15" t="s">
        <v>353</v>
      </c>
      <c r="C4" s="15" t="s">
        <v>354</v>
      </c>
      <c r="D4" s="16" t="s">
        <v>355</v>
      </c>
      <c r="E4" s="15" t="s">
        <v>356</v>
      </c>
    </row>
    <row r="5" customFormat="false" ht="29.85" hidden="false" customHeight="false" outlineLevel="0" collapsed="false">
      <c r="A5" s="16" t="s">
        <v>94</v>
      </c>
      <c r="B5" s="15" t="s">
        <v>357</v>
      </c>
      <c r="C5" s="15" t="s">
        <v>358</v>
      </c>
      <c r="D5" s="16" t="s">
        <v>355</v>
      </c>
      <c r="E5" s="15" t="s">
        <v>359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360</v>
      </c>
    </row>
    <row r="3" customFormat="false" ht="30" hidden="false" customHeight="true" outlineLevel="0" collapsed="false">
      <c r="A3" s="13" t="s">
        <v>20</v>
      </c>
      <c r="B3" s="13" t="s">
        <v>361</v>
      </c>
      <c r="C3" s="13" t="s">
        <v>362</v>
      </c>
      <c r="D3" s="13" t="s">
        <v>363</v>
      </c>
      <c r="E3" s="13" t="s">
        <v>364</v>
      </c>
    </row>
    <row r="4" customFormat="false" ht="15" hidden="false" customHeight="false" outlineLevel="0" collapsed="false">
      <c r="A4" s="16" t="s">
        <v>365</v>
      </c>
      <c r="B4" s="15" t="s">
        <v>366</v>
      </c>
      <c r="C4" s="15" t="s">
        <v>367</v>
      </c>
      <c r="D4" s="15" t="s">
        <v>368</v>
      </c>
      <c r="E4" s="16" t="s">
        <v>66</v>
      </c>
    </row>
    <row r="5" customFormat="false" ht="44" hidden="false" customHeight="false" outlineLevel="0" collapsed="false">
      <c r="A5" s="16" t="s">
        <v>369</v>
      </c>
      <c r="B5" s="15" t="s">
        <v>370</v>
      </c>
      <c r="C5" s="15" t="s">
        <v>371</v>
      </c>
      <c r="D5" s="15" t="s">
        <v>372</v>
      </c>
      <c r="E5" s="16" t="s">
        <v>373</v>
      </c>
    </row>
    <row r="6" customFormat="false" ht="58.2" hidden="false" customHeight="false" outlineLevel="0" collapsed="false">
      <c r="A6" s="16" t="s">
        <v>374</v>
      </c>
      <c r="B6" s="15" t="s">
        <v>375</v>
      </c>
      <c r="C6" s="15" t="s">
        <v>376</v>
      </c>
      <c r="D6" s="15" t="s">
        <v>372</v>
      </c>
      <c r="E6" s="16" t="s">
        <v>377</v>
      </c>
    </row>
    <row r="7" customFormat="false" ht="29.85" hidden="false" customHeight="false" outlineLevel="0" collapsed="false">
      <c r="A7" s="16" t="s">
        <v>378</v>
      </c>
      <c r="B7" s="15" t="s">
        <v>379</v>
      </c>
      <c r="C7" s="15" t="s">
        <v>380</v>
      </c>
      <c r="D7" s="15" t="s">
        <v>381</v>
      </c>
      <c r="E7" s="16" t="s">
        <v>382</v>
      </c>
    </row>
    <row r="8" customFormat="false" ht="29.85" hidden="false" customHeight="false" outlineLevel="0" collapsed="false">
      <c r="A8" s="16" t="s">
        <v>383</v>
      </c>
      <c r="B8" s="16" t="s">
        <v>384</v>
      </c>
      <c r="C8" s="16" t="s">
        <v>385</v>
      </c>
      <c r="D8" s="15" t="s">
        <v>386</v>
      </c>
      <c r="E8" s="16" t="s">
        <v>387</v>
      </c>
    </row>
  </sheetData>
  <autoFilter ref="A3:E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80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27" t="s">
        <v>388</v>
      </c>
      <c r="B1" s="13" t="s">
        <v>389</v>
      </c>
      <c r="C1" s="13" t="s">
        <v>390</v>
      </c>
      <c r="D1" s="13" t="s">
        <v>391</v>
      </c>
      <c r="E1" s="13" t="s">
        <v>392</v>
      </c>
      <c r="F1" s="13" t="s">
        <v>393</v>
      </c>
    </row>
    <row r="2" customFormat="false" ht="29.85" hidden="false" customHeight="false" outlineLevel="0" collapsed="false">
      <c r="A2" s="16" t="s">
        <v>394</v>
      </c>
      <c r="B2" s="15" t="s">
        <v>395</v>
      </c>
      <c r="C2" s="16" t="s">
        <v>396</v>
      </c>
      <c r="D2" s="15" t="s">
        <v>397</v>
      </c>
      <c r="E2" s="16" t="s">
        <v>398</v>
      </c>
      <c r="F2" s="28" t="n">
        <f aca="false">COUNTIF(ルール一覧!$D:$D,A2)</f>
        <v>3</v>
      </c>
    </row>
    <row r="3" customFormat="false" ht="44" hidden="false" customHeight="false" outlineLevel="0" collapsed="false">
      <c r="A3" s="16" t="s">
        <v>399</v>
      </c>
      <c r="B3" s="15" t="s">
        <v>395</v>
      </c>
      <c r="C3" s="16" t="s">
        <v>396</v>
      </c>
      <c r="D3" s="15" t="s">
        <v>400</v>
      </c>
      <c r="E3" s="16" t="s">
        <v>398</v>
      </c>
      <c r="F3" s="28" t="n">
        <f aca="false">COUNTIF(ルール一覧!$D:$D,A3)</f>
        <v>5</v>
      </c>
    </row>
    <row r="4" customFormat="false" ht="29.85" hidden="false" customHeight="false" outlineLevel="0" collapsed="false">
      <c r="A4" s="16" t="s">
        <v>401</v>
      </c>
      <c r="B4" s="15" t="s">
        <v>395</v>
      </c>
      <c r="C4" s="16" t="s">
        <v>396</v>
      </c>
      <c r="D4" s="15" t="s">
        <v>402</v>
      </c>
      <c r="E4" s="16" t="s">
        <v>398</v>
      </c>
      <c r="F4" s="28" t="n">
        <f aca="false">COUNTIF(ルール一覧!$D:$D,A4)</f>
        <v>0</v>
      </c>
    </row>
    <row r="5" customFormat="false" ht="29.85" hidden="false" customHeight="false" outlineLevel="0" collapsed="false">
      <c r="A5" s="16" t="s">
        <v>403</v>
      </c>
      <c r="B5" s="15" t="s">
        <v>395</v>
      </c>
      <c r="C5" s="16" t="s">
        <v>396</v>
      </c>
      <c r="D5" s="15" t="s">
        <v>404</v>
      </c>
      <c r="E5" s="16" t="s">
        <v>398</v>
      </c>
      <c r="F5" s="28" t="n">
        <f aca="false">COUNTIF(ルール一覧!$D:$D,A5)</f>
        <v>1</v>
      </c>
    </row>
    <row r="6" customFormat="false" ht="29.85" hidden="false" customHeight="false" outlineLevel="0" collapsed="false">
      <c r="A6" s="16" t="s">
        <v>405</v>
      </c>
      <c r="B6" s="15" t="s">
        <v>406</v>
      </c>
      <c r="C6" s="16" t="s">
        <v>407</v>
      </c>
      <c r="D6" s="16" t="s">
        <v>408</v>
      </c>
      <c r="E6" s="16" t="s">
        <v>398</v>
      </c>
      <c r="F6" s="28" t="n">
        <f aca="false">COUNTIF(ルール一覧!$D:$D,A6)</f>
        <v>4</v>
      </c>
    </row>
    <row r="7" customFormat="false" ht="15" hidden="false" customHeight="false" outlineLevel="0" collapsed="false">
      <c r="A7" s="16" t="s">
        <v>409</v>
      </c>
      <c r="B7" s="15" t="s">
        <v>406</v>
      </c>
      <c r="C7" s="16" t="s">
        <v>407</v>
      </c>
      <c r="D7" s="15" t="s">
        <v>410</v>
      </c>
      <c r="E7" s="16" t="s">
        <v>398</v>
      </c>
      <c r="F7" s="28" t="n">
        <f aca="false">COUNTIF(ルール一覧!$D:$D,A7)</f>
        <v>11</v>
      </c>
    </row>
    <row r="8" customFormat="false" ht="29.85" hidden="false" customHeight="false" outlineLevel="0" collapsed="false">
      <c r="A8" s="16" t="s">
        <v>411</v>
      </c>
      <c r="B8" s="15" t="s">
        <v>406</v>
      </c>
      <c r="C8" s="16" t="s">
        <v>407</v>
      </c>
      <c r="D8" s="15" t="s">
        <v>412</v>
      </c>
      <c r="E8" s="16" t="s">
        <v>413</v>
      </c>
      <c r="F8" s="28" t="n">
        <f aca="false">COUNTIF(ルール一覧!$D:$D,A8)</f>
        <v>1</v>
      </c>
    </row>
    <row r="9" customFormat="false" ht="29.85" hidden="false" customHeight="false" outlineLevel="0" collapsed="false">
      <c r="A9" s="16" t="s">
        <v>414</v>
      </c>
      <c r="B9" s="15" t="s">
        <v>406</v>
      </c>
      <c r="C9" s="16" t="s">
        <v>407</v>
      </c>
      <c r="D9" s="15" t="s">
        <v>415</v>
      </c>
      <c r="E9" s="16" t="s">
        <v>398</v>
      </c>
      <c r="F9" s="28" t="n">
        <f aca="false">COUNTIF(ルール一覧!$D:$D,A9)</f>
        <v>1</v>
      </c>
    </row>
    <row r="10" customFormat="false" ht="29.85" hidden="false" customHeight="false" outlineLevel="0" collapsed="false">
      <c r="A10" s="16" t="s">
        <v>416</v>
      </c>
      <c r="B10" s="15" t="s">
        <v>406</v>
      </c>
      <c r="C10" s="16" t="s">
        <v>407</v>
      </c>
      <c r="D10" s="15" t="s">
        <v>417</v>
      </c>
      <c r="E10" s="16" t="s">
        <v>418</v>
      </c>
      <c r="F10" s="28" t="n">
        <f aca="false">COUNTIF(ルール一覧!$D:$D,A10)</f>
        <v>9</v>
      </c>
    </row>
    <row r="11" customFormat="false" ht="15" hidden="false" customHeight="false" outlineLevel="0" collapsed="false">
      <c r="A11" s="16" t="s">
        <v>419</v>
      </c>
      <c r="B11" s="15" t="s">
        <v>406</v>
      </c>
      <c r="C11" s="16" t="s">
        <v>407</v>
      </c>
      <c r="D11" s="15" t="s">
        <v>420</v>
      </c>
      <c r="E11" s="16" t="s">
        <v>413</v>
      </c>
      <c r="F11" s="28" t="n">
        <f aca="false">COUNTIF(ルール一覧!$D:$D,A11)</f>
        <v>0</v>
      </c>
    </row>
    <row r="12" customFormat="false" ht="15" hidden="false" customHeight="false" outlineLevel="0" collapsed="false">
      <c r="A12" s="16" t="s">
        <v>421</v>
      </c>
      <c r="B12" s="15" t="s">
        <v>406</v>
      </c>
      <c r="C12" s="16" t="s">
        <v>407</v>
      </c>
      <c r="D12" s="15" t="s">
        <v>422</v>
      </c>
      <c r="E12" s="15" t="s">
        <v>165</v>
      </c>
      <c r="F12" s="28" t="n">
        <f aca="false">COUNTIF(ルール一覧!$D:$D,A12)</f>
        <v>0</v>
      </c>
    </row>
    <row r="13" customFormat="false" ht="29.85" hidden="false" customHeight="false" outlineLevel="0" collapsed="false">
      <c r="A13" s="16" t="s">
        <v>423</v>
      </c>
      <c r="B13" s="15" t="s">
        <v>406</v>
      </c>
      <c r="C13" s="16" t="s">
        <v>407</v>
      </c>
      <c r="D13" s="15" t="s">
        <v>424</v>
      </c>
      <c r="E13" s="16" t="s">
        <v>398</v>
      </c>
      <c r="F13" s="28" t="n">
        <f aca="false">COUNTIF(ルール一覧!$D:$D,A13)</f>
        <v>17</v>
      </c>
    </row>
    <row r="14" customFormat="false" ht="15" hidden="false" customHeight="false" outlineLevel="0" collapsed="false">
      <c r="A14" s="16" t="s">
        <v>425</v>
      </c>
      <c r="B14" s="15" t="s">
        <v>406</v>
      </c>
      <c r="C14" s="16" t="s">
        <v>407</v>
      </c>
      <c r="D14" s="16" t="s">
        <v>426</v>
      </c>
      <c r="E14" s="16" t="s">
        <v>398</v>
      </c>
      <c r="F14" s="28" t="n">
        <f aca="false">COUNTIF(ルール一覧!$D:$D,A14)</f>
        <v>10</v>
      </c>
    </row>
    <row r="15" customFormat="false" ht="29.85" hidden="false" customHeight="false" outlineLevel="0" collapsed="false">
      <c r="A15" s="16" t="s">
        <v>427</v>
      </c>
      <c r="B15" s="15" t="s">
        <v>406</v>
      </c>
      <c r="C15" s="16" t="s">
        <v>407</v>
      </c>
      <c r="D15" s="15" t="s">
        <v>428</v>
      </c>
      <c r="E15" s="15" t="s">
        <v>165</v>
      </c>
      <c r="F15" s="28" t="n">
        <f aca="false">COUNTIF(ルール一覧!$D:$D,A15)</f>
        <v>0</v>
      </c>
    </row>
    <row r="16" customFormat="false" ht="29.85" hidden="false" customHeight="false" outlineLevel="0" collapsed="false">
      <c r="A16" s="16" t="s">
        <v>429</v>
      </c>
      <c r="B16" s="15" t="s">
        <v>430</v>
      </c>
      <c r="C16" s="16" t="s">
        <v>431</v>
      </c>
      <c r="D16" s="15" t="s">
        <v>432</v>
      </c>
      <c r="E16" s="16" t="s">
        <v>398</v>
      </c>
      <c r="F16" s="28" t="n">
        <f aca="false">COUNTIF(ルール一覧!$D:$D,A16)</f>
        <v>0</v>
      </c>
    </row>
    <row r="17" customFormat="false" ht="29.85" hidden="false" customHeight="false" outlineLevel="0" collapsed="false">
      <c r="A17" s="16" t="s">
        <v>433</v>
      </c>
      <c r="B17" s="15" t="s">
        <v>430</v>
      </c>
      <c r="C17" s="16" t="s">
        <v>431</v>
      </c>
      <c r="D17" s="15" t="s">
        <v>434</v>
      </c>
      <c r="E17" s="15" t="s">
        <v>435</v>
      </c>
      <c r="F17" s="28" t="n">
        <f aca="false">COUNTIF(ルール一覧!$D:$D,A17)</f>
        <v>7</v>
      </c>
    </row>
    <row r="18" customFormat="false" ht="29.85" hidden="false" customHeight="false" outlineLevel="0" collapsed="false">
      <c r="A18" s="16" t="s">
        <v>436</v>
      </c>
      <c r="B18" s="15" t="s">
        <v>437</v>
      </c>
      <c r="C18" s="16" t="s">
        <v>438</v>
      </c>
      <c r="D18" s="16" t="s">
        <v>439</v>
      </c>
      <c r="E18" s="16" t="s">
        <v>398</v>
      </c>
      <c r="F18" s="28" t="n">
        <f aca="false">COUNTIF(ルール一覧!$D:$D,A18)</f>
        <v>2</v>
      </c>
    </row>
    <row r="19" customFormat="false" ht="29.85" hidden="false" customHeight="false" outlineLevel="0" collapsed="false">
      <c r="A19" s="16" t="s">
        <v>440</v>
      </c>
      <c r="B19" s="15" t="s">
        <v>437</v>
      </c>
      <c r="C19" s="16" t="s">
        <v>438</v>
      </c>
      <c r="D19" s="15" t="s">
        <v>441</v>
      </c>
      <c r="E19" s="16" t="s">
        <v>398</v>
      </c>
      <c r="F19" s="28" t="n">
        <f aca="false">COUNTIF(ルール一覧!$D:$D,A19)</f>
        <v>3</v>
      </c>
    </row>
    <row r="20" customFormat="false" ht="29.85" hidden="false" customHeight="false" outlineLevel="0" collapsed="false">
      <c r="A20" s="16" t="s">
        <v>442</v>
      </c>
      <c r="B20" s="15" t="s">
        <v>437</v>
      </c>
      <c r="C20" s="16" t="s">
        <v>438</v>
      </c>
      <c r="D20" s="15" t="s">
        <v>443</v>
      </c>
      <c r="E20" s="16" t="s">
        <v>398</v>
      </c>
      <c r="F20" s="28" t="n">
        <f aca="false">COUNTIF(ルール一覧!$D:$D,A20)</f>
        <v>1</v>
      </c>
    </row>
    <row r="21" customFormat="false" ht="29.85" hidden="false" customHeight="false" outlineLevel="0" collapsed="false">
      <c r="A21" s="16" t="s">
        <v>444</v>
      </c>
      <c r="B21" s="15" t="s">
        <v>445</v>
      </c>
      <c r="C21" s="16" t="s">
        <v>446</v>
      </c>
      <c r="D21" s="16" t="s">
        <v>447</v>
      </c>
      <c r="E21" s="15" t="s">
        <v>448</v>
      </c>
      <c r="F21" s="28" t="n">
        <f aca="false">COUNTIF(ルール一覧!$D:$D,A21)</f>
        <v>0</v>
      </c>
    </row>
    <row r="22" customFormat="false" ht="29.85" hidden="false" customHeight="false" outlineLevel="0" collapsed="false">
      <c r="A22" s="16" t="s">
        <v>449</v>
      </c>
      <c r="B22" s="15" t="s">
        <v>445</v>
      </c>
      <c r="C22" s="16" t="s">
        <v>446</v>
      </c>
      <c r="D22" s="15" t="s">
        <v>450</v>
      </c>
      <c r="E22" s="15" t="s">
        <v>448</v>
      </c>
      <c r="F22" s="28" t="n">
        <f aca="false">COUNTIF(ルール一覧!$D:$D,A22)</f>
        <v>0</v>
      </c>
    </row>
    <row r="23" customFormat="false" ht="29.85" hidden="false" customHeight="false" outlineLevel="0" collapsed="false">
      <c r="A23" s="16" t="s">
        <v>451</v>
      </c>
      <c r="B23" s="15" t="s">
        <v>452</v>
      </c>
      <c r="C23" s="16" t="s">
        <v>453</v>
      </c>
      <c r="D23" s="15" t="s">
        <v>454</v>
      </c>
      <c r="E23" s="16" t="s">
        <v>455</v>
      </c>
      <c r="F23" s="28" t="n">
        <f aca="false">COUNTIF(ルール一覧!$D:$D,A23)</f>
        <v>0</v>
      </c>
    </row>
    <row r="24" customFormat="false" ht="29.85" hidden="false" customHeight="false" outlineLevel="0" collapsed="false">
      <c r="A24" s="16" t="s">
        <v>456</v>
      </c>
      <c r="B24" s="15" t="s">
        <v>452</v>
      </c>
      <c r="C24" s="16" t="s">
        <v>453</v>
      </c>
      <c r="D24" s="15" t="s">
        <v>457</v>
      </c>
      <c r="E24" s="16" t="s">
        <v>455</v>
      </c>
      <c r="F24" s="28" t="n">
        <f aca="false">COUNTIF(ルール一覧!$D:$D,A24)</f>
        <v>0</v>
      </c>
    </row>
    <row r="25" customFormat="false" ht="29.85" hidden="false" customHeight="false" outlineLevel="0" collapsed="false">
      <c r="A25" s="16" t="s">
        <v>458</v>
      </c>
      <c r="B25" s="15" t="s">
        <v>459</v>
      </c>
      <c r="C25" s="16" t="s">
        <v>460</v>
      </c>
      <c r="D25" s="15" t="s">
        <v>461</v>
      </c>
      <c r="E25" s="16" t="s">
        <v>462</v>
      </c>
      <c r="F25" s="28" t="n">
        <f aca="false">COUNTIF(ルール一覧!$D:$D,A25)</f>
        <v>0</v>
      </c>
    </row>
    <row r="26" customFormat="false" ht="29.85" hidden="false" customHeight="false" outlineLevel="0" collapsed="false">
      <c r="A26" s="16" t="s">
        <v>463</v>
      </c>
      <c r="B26" s="15" t="s">
        <v>395</v>
      </c>
      <c r="C26" s="16" t="s">
        <v>396</v>
      </c>
      <c r="D26" s="15" t="s">
        <v>464</v>
      </c>
      <c r="E26" s="16" t="s">
        <v>398</v>
      </c>
      <c r="F26" s="28" t="n">
        <f aca="false">COUNTIF(ルール一覧!$D:$D,A26)</f>
        <v>1</v>
      </c>
    </row>
    <row r="27" customFormat="false" ht="29.85" hidden="false" customHeight="false" outlineLevel="0" collapsed="false">
      <c r="A27" s="16" t="s">
        <v>465</v>
      </c>
      <c r="B27" s="15" t="s">
        <v>406</v>
      </c>
      <c r="C27" s="16" t="s">
        <v>407</v>
      </c>
      <c r="D27" s="15" t="s">
        <v>466</v>
      </c>
      <c r="E27" s="16" t="s">
        <v>398</v>
      </c>
      <c r="F27" s="28" t="n">
        <f aca="false">COUNTIF(ルール一覧!$D:$D,A27)</f>
        <v>3</v>
      </c>
    </row>
    <row r="28" customFormat="false" ht="29.85" hidden="false" customHeight="false" outlineLevel="0" collapsed="false">
      <c r="A28" s="16" t="s">
        <v>467</v>
      </c>
      <c r="B28" s="15" t="s">
        <v>406</v>
      </c>
      <c r="C28" s="16" t="s">
        <v>407</v>
      </c>
      <c r="D28" s="15" t="s">
        <v>468</v>
      </c>
      <c r="E28" s="16" t="s">
        <v>398</v>
      </c>
      <c r="F28" s="28" t="n">
        <f aca="false">COUNTIF(ルール一覧!$D:$D,A28)</f>
        <v>9</v>
      </c>
    </row>
    <row r="29" customFormat="false" ht="29.85" hidden="false" customHeight="false" outlineLevel="0" collapsed="false">
      <c r="A29" s="16" t="s">
        <v>469</v>
      </c>
      <c r="B29" s="15" t="s">
        <v>406</v>
      </c>
      <c r="C29" s="16" t="s">
        <v>407</v>
      </c>
      <c r="D29" s="15" t="s">
        <v>470</v>
      </c>
      <c r="E29" s="16" t="s">
        <v>398</v>
      </c>
      <c r="F29" s="28" t="n">
        <f aca="false">COUNTIF(ルール一覧!$D:$D,A29)</f>
        <v>1</v>
      </c>
    </row>
    <row r="30" customFormat="false" ht="44" hidden="false" customHeight="false" outlineLevel="0" collapsed="false">
      <c r="A30" s="16" t="s">
        <v>471</v>
      </c>
      <c r="B30" s="15" t="s">
        <v>452</v>
      </c>
      <c r="C30" s="16" t="s">
        <v>453</v>
      </c>
      <c r="D30" s="15" t="s">
        <v>472</v>
      </c>
      <c r="E30" s="16" t="s">
        <v>473</v>
      </c>
      <c r="F30" s="28" t="n">
        <f aca="false">COUNTIF(ルール一覧!$D:$D,A30)</f>
        <v>0</v>
      </c>
    </row>
    <row r="31" customFormat="false" ht="29.85" hidden="false" customHeight="false" outlineLevel="0" collapsed="false">
      <c r="A31" s="16" t="s">
        <v>474</v>
      </c>
      <c r="B31" s="15" t="s">
        <v>430</v>
      </c>
      <c r="C31" s="16" t="s">
        <v>431</v>
      </c>
      <c r="D31" s="15" t="s">
        <v>475</v>
      </c>
      <c r="E31" s="15" t="s">
        <v>448</v>
      </c>
      <c r="F31" s="28" t="n">
        <f aca="false">COUNTIF(ルール一覧!$D:$D,A31)</f>
        <v>0</v>
      </c>
    </row>
    <row r="32" customFormat="false" ht="44" hidden="false" customHeight="false" outlineLevel="0" collapsed="false">
      <c r="A32" s="16" t="s">
        <v>476</v>
      </c>
      <c r="B32" s="15" t="s">
        <v>437</v>
      </c>
      <c r="C32" s="16" t="s">
        <v>438</v>
      </c>
      <c r="D32" s="15" t="s">
        <v>477</v>
      </c>
      <c r="E32" s="16" t="s">
        <v>478</v>
      </c>
      <c r="F32" s="28" t="n">
        <f aca="false">COUNTIF(ルール一覧!$D:$D,A32)</f>
        <v>1</v>
      </c>
    </row>
    <row r="33" customFormat="false" ht="44" hidden="false" customHeight="false" outlineLevel="0" collapsed="false">
      <c r="A33" s="16" t="s">
        <v>479</v>
      </c>
      <c r="B33" s="15" t="s">
        <v>480</v>
      </c>
      <c r="C33" s="16" t="s">
        <v>481</v>
      </c>
      <c r="D33" s="15" t="s">
        <v>482</v>
      </c>
      <c r="E33" s="16" t="s">
        <v>478</v>
      </c>
      <c r="F33" s="28" t="n">
        <f aca="false">COUNTIF(ルール一覧!$D:$D,A33)</f>
        <v>2</v>
      </c>
    </row>
    <row r="34" customFormat="false" ht="44" hidden="false" customHeight="false" outlineLevel="0" collapsed="false">
      <c r="A34" s="16" t="s">
        <v>483</v>
      </c>
      <c r="B34" s="15" t="s">
        <v>445</v>
      </c>
      <c r="C34" s="16" t="s">
        <v>446</v>
      </c>
      <c r="D34" s="15" t="s">
        <v>484</v>
      </c>
      <c r="E34" s="15" t="s">
        <v>448</v>
      </c>
      <c r="F34" s="28" t="n">
        <f aca="false">COUNTIF(ルール一覧!$D:$D,A34)</f>
        <v>0</v>
      </c>
    </row>
    <row r="35" customFormat="false" ht="29.85" hidden="false" customHeight="false" outlineLevel="0" collapsed="false">
      <c r="A35" s="16" t="s">
        <v>485</v>
      </c>
      <c r="B35" s="15" t="s">
        <v>459</v>
      </c>
      <c r="C35" s="16" t="s">
        <v>460</v>
      </c>
      <c r="D35" s="15" t="s">
        <v>486</v>
      </c>
      <c r="E35" s="16" t="s">
        <v>487</v>
      </c>
      <c r="F35" s="28" t="n">
        <f aca="false">COUNTIF(ルール一覧!$D:$D,A35)</f>
        <v>0</v>
      </c>
    </row>
    <row r="36" customFormat="false" ht="29.85" hidden="false" customHeight="false" outlineLevel="0" collapsed="false">
      <c r="A36" s="16" t="s">
        <v>488</v>
      </c>
      <c r="B36" s="15" t="s">
        <v>459</v>
      </c>
      <c r="C36" s="16" t="s">
        <v>460</v>
      </c>
      <c r="D36" s="15" t="s">
        <v>489</v>
      </c>
      <c r="E36" s="15" t="s">
        <v>448</v>
      </c>
      <c r="F36" s="28" t="n">
        <f aca="false">COUNTIF(ルール一覧!$D:$D,A36)</f>
        <v>0</v>
      </c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80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24" t="s">
        <v>490</v>
      </c>
    </row>
    <row r="3" customFormat="false" ht="30" hidden="false" customHeight="true" outlineLevel="0" collapsed="false">
      <c r="A3" s="13" t="s">
        <v>491</v>
      </c>
      <c r="B3" s="13" t="s">
        <v>492</v>
      </c>
      <c r="C3" s="13" t="s">
        <v>493</v>
      </c>
      <c r="D3" s="13" t="s">
        <v>391</v>
      </c>
      <c r="E3" s="13" t="s">
        <v>494</v>
      </c>
      <c r="F3" s="13" t="s">
        <v>495</v>
      </c>
      <c r="G3" s="13" t="s">
        <v>496</v>
      </c>
      <c r="H3" s="13" t="s">
        <v>497</v>
      </c>
    </row>
    <row r="4" customFormat="false" ht="15" hidden="false" customHeight="false" outlineLevel="0" collapsed="false">
      <c r="A4" s="16" t="s">
        <v>498</v>
      </c>
      <c r="B4" s="15" t="s">
        <v>499</v>
      </c>
      <c r="C4" s="15" t="s">
        <v>500</v>
      </c>
      <c r="D4" s="16" t="s">
        <v>394</v>
      </c>
      <c r="E4" s="29" t="s">
        <v>501</v>
      </c>
      <c r="F4" s="15" t="s">
        <v>502</v>
      </c>
      <c r="G4" s="15" t="s">
        <v>503</v>
      </c>
      <c r="H4" s="15" t="s">
        <v>504</v>
      </c>
    </row>
    <row r="5" customFormat="false" ht="15" hidden="false" customHeight="false" outlineLevel="0" collapsed="false">
      <c r="A5" s="16" t="s">
        <v>505</v>
      </c>
      <c r="B5" s="15" t="s">
        <v>499</v>
      </c>
      <c r="C5" s="15" t="s">
        <v>500</v>
      </c>
      <c r="D5" s="16" t="s">
        <v>399</v>
      </c>
      <c r="E5" s="29" t="s">
        <v>501</v>
      </c>
      <c r="F5" s="15" t="s">
        <v>502</v>
      </c>
      <c r="G5" s="15" t="s">
        <v>506</v>
      </c>
      <c r="H5" s="15" t="s">
        <v>504</v>
      </c>
    </row>
    <row r="6" customFormat="false" ht="15" hidden="false" customHeight="false" outlineLevel="0" collapsed="false">
      <c r="A6" s="16" t="s">
        <v>507</v>
      </c>
      <c r="B6" s="15" t="s">
        <v>499</v>
      </c>
      <c r="C6" s="15" t="s">
        <v>500</v>
      </c>
      <c r="D6" s="16" t="s">
        <v>399</v>
      </c>
      <c r="E6" s="29" t="s">
        <v>501</v>
      </c>
      <c r="F6" s="15" t="s">
        <v>502</v>
      </c>
      <c r="G6" s="15" t="s">
        <v>508</v>
      </c>
      <c r="H6" s="15" t="s">
        <v>504</v>
      </c>
    </row>
    <row r="7" customFormat="false" ht="15" hidden="false" customHeight="false" outlineLevel="0" collapsed="false">
      <c r="A7" s="16" t="s">
        <v>509</v>
      </c>
      <c r="B7" s="15" t="s">
        <v>499</v>
      </c>
      <c r="C7" s="15" t="s">
        <v>500</v>
      </c>
      <c r="D7" s="16" t="s">
        <v>405</v>
      </c>
      <c r="E7" s="29" t="s">
        <v>501</v>
      </c>
      <c r="F7" s="15" t="s">
        <v>510</v>
      </c>
      <c r="G7" s="15" t="s">
        <v>511</v>
      </c>
      <c r="H7" s="15" t="s">
        <v>504</v>
      </c>
    </row>
    <row r="8" customFormat="false" ht="15" hidden="false" customHeight="false" outlineLevel="0" collapsed="false">
      <c r="A8" s="16" t="s">
        <v>512</v>
      </c>
      <c r="B8" s="15" t="s">
        <v>499</v>
      </c>
      <c r="C8" s="16" t="s">
        <v>513</v>
      </c>
      <c r="D8" s="16" t="s">
        <v>416</v>
      </c>
      <c r="E8" s="29" t="s">
        <v>501</v>
      </c>
      <c r="F8" s="15" t="s">
        <v>514</v>
      </c>
      <c r="G8" s="15" t="s">
        <v>515</v>
      </c>
      <c r="H8" s="15" t="s">
        <v>504</v>
      </c>
    </row>
    <row r="9" customFormat="false" ht="15" hidden="false" customHeight="false" outlineLevel="0" collapsed="false">
      <c r="A9" s="16" t="s">
        <v>516</v>
      </c>
      <c r="B9" s="15" t="s">
        <v>499</v>
      </c>
      <c r="C9" s="15" t="s">
        <v>500</v>
      </c>
      <c r="D9" s="16" t="s">
        <v>433</v>
      </c>
      <c r="E9" s="30" t="s">
        <v>517</v>
      </c>
      <c r="F9" s="15" t="s">
        <v>510</v>
      </c>
      <c r="G9" s="15" t="s">
        <v>518</v>
      </c>
      <c r="H9" s="15" t="s">
        <v>504</v>
      </c>
    </row>
    <row r="10" customFormat="false" ht="15" hidden="false" customHeight="false" outlineLevel="0" collapsed="false">
      <c r="A10" s="16" t="s">
        <v>519</v>
      </c>
      <c r="B10" s="15" t="s">
        <v>499</v>
      </c>
      <c r="C10" s="15" t="s">
        <v>500</v>
      </c>
      <c r="D10" s="16" t="s">
        <v>433</v>
      </c>
      <c r="E10" s="30" t="s">
        <v>517</v>
      </c>
      <c r="F10" s="15" t="s">
        <v>502</v>
      </c>
      <c r="G10" s="15" t="s">
        <v>520</v>
      </c>
      <c r="H10" s="15" t="s">
        <v>504</v>
      </c>
    </row>
    <row r="11" customFormat="false" ht="15" hidden="false" customHeight="false" outlineLevel="0" collapsed="false">
      <c r="A11" s="16" t="s">
        <v>521</v>
      </c>
      <c r="B11" s="15" t="s">
        <v>499</v>
      </c>
      <c r="C11" s="16" t="s">
        <v>513</v>
      </c>
      <c r="D11" s="16" t="s">
        <v>436</v>
      </c>
      <c r="E11" s="29" t="s">
        <v>501</v>
      </c>
      <c r="F11" s="15" t="s">
        <v>514</v>
      </c>
      <c r="G11" s="16" t="s">
        <v>522</v>
      </c>
      <c r="H11" s="15" t="s">
        <v>504</v>
      </c>
    </row>
    <row r="12" customFormat="false" ht="15" hidden="false" customHeight="false" outlineLevel="0" collapsed="false">
      <c r="A12" s="16" t="s">
        <v>523</v>
      </c>
      <c r="B12" s="15" t="s">
        <v>499</v>
      </c>
      <c r="C12" s="16" t="s">
        <v>513</v>
      </c>
      <c r="D12" s="16" t="s">
        <v>436</v>
      </c>
      <c r="E12" s="29" t="s">
        <v>501</v>
      </c>
      <c r="F12" s="15" t="s">
        <v>514</v>
      </c>
      <c r="G12" s="16" t="s">
        <v>524</v>
      </c>
      <c r="H12" s="15" t="s">
        <v>504</v>
      </c>
    </row>
    <row r="13" customFormat="false" ht="15" hidden="false" customHeight="false" outlineLevel="0" collapsed="false">
      <c r="A13" s="16" t="s">
        <v>525</v>
      </c>
      <c r="B13" s="15" t="s">
        <v>499</v>
      </c>
      <c r="C13" s="16" t="s">
        <v>513</v>
      </c>
      <c r="D13" s="16" t="s">
        <v>440</v>
      </c>
      <c r="E13" s="30" t="s">
        <v>517</v>
      </c>
      <c r="F13" s="15" t="s">
        <v>514</v>
      </c>
      <c r="G13" s="16" t="s">
        <v>526</v>
      </c>
      <c r="H13" s="15" t="s">
        <v>504</v>
      </c>
    </row>
    <row r="14" customFormat="false" ht="15" hidden="false" customHeight="false" outlineLevel="0" collapsed="false">
      <c r="A14" s="16" t="s">
        <v>527</v>
      </c>
      <c r="B14" s="15" t="s">
        <v>499</v>
      </c>
      <c r="C14" s="16" t="s">
        <v>513</v>
      </c>
      <c r="D14" s="16" t="s">
        <v>440</v>
      </c>
      <c r="E14" s="29" t="s">
        <v>501</v>
      </c>
      <c r="F14" s="15" t="s">
        <v>514</v>
      </c>
      <c r="G14" s="15" t="s">
        <v>528</v>
      </c>
      <c r="H14" s="15" t="s">
        <v>504</v>
      </c>
    </row>
    <row r="15" customFormat="false" ht="15" hidden="false" customHeight="false" outlineLevel="0" collapsed="false">
      <c r="A15" s="16" t="s">
        <v>529</v>
      </c>
      <c r="B15" s="15" t="s">
        <v>499</v>
      </c>
      <c r="C15" s="16" t="s">
        <v>513</v>
      </c>
      <c r="D15" s="16" t="s">
        <v>442</v>
      </c>
      <c r="E15" s="29" t="s">
        <v>501</v>
      </c>
      <c r="F15" s="15" t="s">
        <v>514</v>
      </c>
      <c r="G15" s="15" t="s">
        <v>530</v>
      </c>
      <c r="H15" s="15" t="s">
        <v>504</v>
      </c>
    </row>
    <row r="16" customFormat="false" ht="15" hidden="false" customHeight="false" outlineLevel="0" collapsed="false">
      <c r="A16" s="16" t="s">
        <v>531</v>
      </c>
      <c r="B16" s="15" t="s">
        <v>499</v>
      </c>
      <c r="C16" s="15" t="s">
        <v>500</v>
      </c>
      <c r="D16" s="16" t="s">
        <v>463</v>
      </c>
      <c r="E16" s="29" t="s">
        <v>501</v>
      </c>
      <c r="F16" s="15" t="s">
        <v>502</v>
      </c>
      <c r="G16" s="15" t="s">
        <v>532</v>
      </c>
      <c r="H16" s="15" t="s">
        <v>504</v>
      </c>
    </row>
    <row r="17" customFormat="false" ht="15" hidden="false" customHeight="false" outlineLevel="0" collapsed="false">
      <c r="A17" s="16" t="s">
        <v>533</v>
      </c>
      <c r="B17" s="15" t="s">
        <v>499</v>
      </c>
      <c r="C17" s="15" t="s">
        <v>500</v>
      </c>
      <c r="D17" s="16" t="s">
        <v>465</v>
      </c>
      <c r="E17" s="29" t="s">
        <v>501</v>
      </c>
      <c r="F17" s="15" t="s">
        <v>502</v>
      </c>
      <c r="G17" s="15" t="s">
        <v>534</v>
      </c>
      <c r="H17" s="15" t="s">
        <v>504</v>
      </c>
    </row>
    <row r="18" customFormat="false" ht="15" hidden="false" customHeight="false" outlineLevel="0" collapsed="false">
      <c r="A18" s="16" t="s">
        <v>535</v>
      </c>
      <c r="B18" s="15" t="s">
        <v>499</v>
      </c>
      <c r="C18" s="15" t="s">
        <v>500</v>
      </c>
      <c r="D18" s="16" t="s">
        <v>469</v>
      </c>
      <c r="E18" s="29" t="s">
        <v>501</v>
      </c>
      <c r="F18" s="15" t="s">
        <v>510</v>
      </c>
      <c r="G18" s="16" t="s">
        <v>536</v>
      </c>
      <c r="H18" s="15" t="s">
        <v>504</v>
      </c>
    </row>
    <row r="19" customFormat="false" ht="15" hidden="false" customHeight="false" outlineLevel="0" collapsed="false">
      <c r="A19" s="16" t="s">
        <v>537</v>
      </c>
      <c r="B19" s="15" t="s">
        <v>499</v>
      </c>
      <c r="C19" s="16" t="s">
        <v>513</v>
      </c>
      <c r="D19" s="16" t="s">
        <v>476</v>
      </c>
      <c r="E19" s="29" t="s">
        <v>501</v>
      </c>
      <c r="F19" s="15" t="s">
        <v>514</v>
      </c>
      <c r="G19" s="15" t="s">
        <v>538</v>
      </c>
      <c r="H19" s="15" t="s">
        <v>504</v>
      </c>
    </row>
    <row r="20" customFormat="false" ht="35.05" hidden="false" customHeight="false" outlineLevel="0" collapsed="false">
      <c r="A20" s="16" t="s">
        <v>539</v>
      </c>
      <c r="B20" s="16" t="s">
        <v>540</v>
      </c>
      <c r="C20" s="16" t="s">
        <v>541</v>
      </c>
      <c r="D20" s="16" t="s">
        <v>394</v>
      </c>
      <c r="E20" s="29" t="s">
        <v>501</v>
      </c>
      <c r="F20" s="15" t="s">
        <v>542</v>
      </c>
      <c r="G20" s="15" t="s">
        <v>543</v>
      </c>
      <c r="H20" s="15" t="s">
        <v>504</v>
      </c>
    </row>
    <row r="21" customFormat="false" ht="15" hidden="false" customHeight="false" outlineLevel="0" collapsed="false">
      <c r="A21" s="16" t="s">
        <v>544</v>
      </c>
      <c r="B21" s="16" t="s">
        <v>540</v>
      </c>
      <c r="C21" s="15" t="s">
        <v>500</v>
      </c>
      <c r="D21" s="16" t="s">
        <v>394</v>
      </c>
      <c r="E21" s="29" t="s">
        <v>501</v>
      </c>
      <c r="F21" s="15" t="s">
        <v>542</v>
      </c>
      <c r="G21" s="16" t="s">
        <v>545</v>
      </c>
      <c r="H21" s="15" t="s">
        <v>504</v>
      </c>
    </row>
    <row r="22" customFormat="false" ht="35.05" hidden="false" customHeight="false" outlineLevel="0" collapsed="false">
      <c r="A22" s="16" t="s">
        <v>546</v>
      </c>
      <c r="B22" s="16" t="s">
        <v>540</v>
      </c>
      <c r="C22" s="16" t="s">
        <v>541</v>
      </c>
      <c r="D22" s="16" t="s">
        <v>399</v>
      </c>
      <c r="E22" s="29" t="s">
        <v>501</v>
      </c>
      <c r="F22" s="15" t="s">
        <v>542</v>
      </c>
      <c r="G22" s="15" t="s">
        <v>547</v>
      </c>
      <c r="H22" s="15" t="s">
        <v>504</v>
      </c>
    </row>
    <row r="23" customFormat="false" ht="35.05" hidden="false" customHeight="false" outlineLevel="0" collapsed="false">
      <c r="A23" s="16" t="s">
        <v>548</v>
      </c>
      <c r="B23" s="16" t="s">
        <v>540</v>
      </c>
      <c r="C23" s="16" t="s">
        <v>541</v>
      </c>
      <c r="D23" s="16" t="s">
        <v>403</v>
      </c>
      <c r="E23" s="29" t="s">
        <v>501</v>
      </c>
      <c r="F23" s="15" t="s">
        <v>549</v>
      </c>
      <c r="G23" s="15" t="s">
        <v>550</v>
      </c>
      <c r="H23" s="15" t="s">
        <v>504</v>
      </c>
    </row>
    <row r="24" customFormat="false" ht="23.85" hidden="false" customHeight="false" outlineLevel="0" collapsed="false">
      <c r="A24" s="16" t="s">
        <v>551</v>
      </c>
      <c r="B24" s="16" t="s">
        <v>540</v>
      </c>
      <c r="C24" s="16" t="s">
        <v>552</v>
      </c>
      <c r="D24" s="16" t="s">
        <v>425</v>
      </c>
      <c r="E24" s="29" t="s">
        <v>501</v>
      </c>
      <c r="F24" s="15" t="s">
        <v>510</v>
      </c>
      <c r="G24" s="16" t="s">
        <v>553</v>
      </c>
      <c r="H24" s="15" t="s">
        <v>504</v>
      </c>
    </row>
    <row r="25" customFormat="false" ht="35.05" hidden="false" customHeight="false" outlineLevel="0" collapsed="false">
      <c r="A25" s="16" t="s">
        <v>554</v>
      </c>
      <c r="B25" s="16" t="s">
        <v>540</v>
      </c>
      <c r="C25" s="16" t="s">
        <v>541</v>
      </c>
      <c r="D25" s="16" t="s">
        <v>440</v>
      </c>
      <c r="E25" s="29" t="s">
        <v>501</v>
      </c>
      <c r="F25" s="15" t="s">
        <v>502</v>
      </c>
      <c r="G25" s="16" t="s">
        <v>555</v>
      </c>
      <c r="H25" s="15" t="s">
        <v>504</v>
      </c>
    </row>
    <row r="26" customFormat="false" ht="35.05" hidden="false" customHeight="false" outlineLevel="0" collapsed="false">
      <c r="A26" s="16" t="s">
        <v>556</v>
      </c>
      <c r="B26" s="16" t="s">
        <v>540</v>
      </c>
      <c r="C26" s="16" t="s">
        <v>541</v>
      </c>
      <c r="D26" s="16" t="s">
        <v>465</v>
      </c>
      <c r="E26" s="29" t="s">
        <v>501</v>
      </c>
      <c r="F26" s="15" t="s">
        <v>502</v>
      </c>
      <c r="G26" s="15" t="s">
        <v>557</v>
      </c>
      <c r="H26" s="15" t="s">
        <v>504</v>
      </c>
    </row>
    <row r="27" customFormat="false" ht="15" hidden="false" customHeight="false" outlineLevel="0" collapsed="false">
      <c r="A27" s="16" t="s">
        <v>558</v>
      </c>
      <c r="B27" s="16" t="s">
        <v>540</v>
      </c>
      <c r="C27" s="15" t="s">
        <v>500</v>
      </c>
      <c r="D27" s="16" t="s">
        <v>465</v>
      </c>
      <c r="E27" s="29" t="s">
        <v>501</v>
      </c>
      <c r="F27" s="15" t="s">
        <v>542</v>
      </c>
      <c r="G27" s="16" t="s">
        <v>559</v>
      </c>
      <c r="H27" s="15" t="s">
        <v>504</v>
      </c>
    </row>
    <row r="28" customFormat="false" ht="35.05" hidden="false" customHeight="false" outlineLevel="0" collapsed="false">
      <c r="A28" s="16" t="s">
        <v>560</v>
      </c>
      <c r="B28" s="16" t="s">
        <v>540</v>
      </c>
      <c r="C28" s="16" t="s">
        <v>541</v>
      </c>
      <c r="D28" s="16" t="s">
        <v>479</v>
      </c>
      <c r="E28" s="29" t="s">
        <v>501</v>
      </c>
      <c r="F28" s="15" t="s">
        <v>561</v>
      </c>
      <c r="G28" s="15" t="s">
        <v>562</v>
      </c>
      <c r="H28" s="15" t="s">
        <v>504</v>
      </c>
    </row>
    <row r="29" customFormat="false" ht="35.05" hidden="false" customHeight="false" outlineLevel="0" collapsed="false">
      <c r="A29" s="16" t="s">
        <v>563</v>
      </c>
      <c r="B29" s="16" t="s">
        <v>540</v>
      </c>
      <c r="C29" s="16" t="s">
        <v>564</v>
      </c>
      <c r="D29" s="16" t="s">
        <v>479</v>
      </c>
      <c r="E29" s="29" t="s">
        <v>501</v>
      </c>
      <c r="F29" s="15" t="s">
        <v>561</v>
      </c>
      <c r="G29" s="15" t="s">
        <v>565</v>
      </c>
      <c r="H29" s="15" t="s">
        <v>504</v>
      </c>
    </row>
    <row r="30" customFormat="false" ht="26.85" hidden="false" customHeight="false" outlineLevel="0" collapsed="false">
      <c r="A30" s="16" t="s">
        <v>566</v>
      </c>
      <c r="B30" s="16" t="s">
        <v>567</v>
      </c>
      <c r="C30" s="16" t="s">
        <v>567</v>
      </c>
      <c r="D30" s="16" t="s">
        <v>409</v>
      </c>
      <c r="E30" s="30" t="s">
        <v>517</v>
      </c>
      <c r="F30" s="15" t="s">
        <v>510</v>
      </c>
      <c r="G30" s="15" t="s">
        <v>568</v>
      </c>
      <c r="H30" s="15" t="s">
        <v>504</v>
      </c>
    </row>
    <row r="31" customFormat="false" ht="15" hidden="false" customHeight="false" outlineLevel="0" collapsed="false">
      <c r="A31" s="16" t="s">
        <v>569</v>
      </c>
      <c r="B31" s="16" t="s">
        <v>567</v>
      </c>
      <c r="C31" s="16" t="s">
        <v>567</v>
      </c>
      <c r="D31" s="16" t="s">
        <v>411</v>
      </c>
      <c r="E31" s="29" t="s">
        <v>501</v>
      </c>
      <c r="F31" s="15" t="s">
        <v>502</v>
      </c>
      <c r="G31" s="15" t="s">
        <v>570</v>
      </c>
      <c r="H31" s="15" t="s">
        <v>504</v>
      </c>
    </row>
    <row r="32" customFormat="false" ht="29.85" hidden="false" customHeight="false" outlineLevel="0" collapsed="false">
      <c r="A32" s="16" t="s">
        <v>571</v>
      </c>
      <c r="B32" s="16" t="s">
        <v>567</v>
      </c>
      <c r="C32" s="16" t="s">
        <v>567</v>
      </c>
      <c r="D32" s="16" t="s">
        <v>414</v>
      </c>
      <c r="E32" s="29" t="s">
        <v>501</v>
      </c>
      <c r="F32" s="15" t="s">
        <v>510</v>
      </c>
      <c r="G32" s="15" t="s">
        <v>572</v>
      </c>
      <c r="H32" s="15" t="s">
        <v>504</v>
      </c>
    </row>
    <row r="33" customFormat="false" ht="29.85" hidden="false" customHeight="false" outlineLevel="0" collapsed="false">
      <c r="A33" s="16" t="s">
        <v>573</v>
      </c>
      <c r="B33" s="16" t="s">
        <v>567</v>
      </c>
      <c r="C33" s="16" t="s">
        <v>567</v>
      </c>
      <c r="D33" s="16" t="s">
        <v>416</v>
      </c>
      <c r="E33" s="29" t="s">
        <v>501</v>
      </c>
      <c r="F33" s="15" t="s">
        <v>574</v>
      </c>
      <c r="G33" s="15" t="s">
        <v>575</v>
      </c>
      <c r="H33" s="15" t="s">
        <v>504</v>
      </c>
    </row>
    <row r="34" customFormat="false" ht="15" hidden="false" customHeight="false" outlineLevel="0" collapsed="false">
      <c r="A34" s="16" t="s">
        <v>576</v>
      </c>
      <c r="B34" s="16" t="s">
        <v>567</v>
      </c>
      <c r="C34" s="16" t="s">
        <v>567</v>
      </c>
      <c r="D34" s="16" t="s">
        <v>423</v>
      </c>
      <c r="E34" s="29" t="s">
        <v>501</v>
      </c>
      <c r="F34" s="15" t="s">
        <v>510</v>
      </c>
      <c r="G34" s="16" t="s">
        <v>577</v>
      </c>
      <c r="H34" s="15" t="s">
        <v>504</v>
      </c>
    </row>
    <row r="35" customFormat="false" ht="15" hidden="false" customHeight="false" outlineLevel="0" collapsed="false">
      <c r="A35" s="16" t="s">
        <v>578</v>
      </c>
      <c r="B35" s="16" t="s">
        <v>567</v>
      </c>
      <c r="C35" s="16" t="s">
        <v>567</v>
      </c>
      <c r="D35" s="16" t="s">
        <v>423</v>
      </c>
      <c r="E35" s="30" t="s">
        <v>517</v>
      </c>
      <c r="F35" s="15" t="s">
        <v>510</v>
      </c>
      <c r="G35" s="16" t="s">
        <v>579</v>
      </c>
      <c r="H35" s="15" t="s">
        <v>504</v>
      </c>
    </row>
    <row r="36" customFormat="false" ht="15" hidden="false" customHeight="false" outlineLevel="0" collapsed="false">
      <c r="A36" s="16" t="s">
        <v>580</v>
      </c>
      <c r="B36" s="16" t="s">
        <v>567</v>
      </c>
      <c r="C36" s="16" t="s">
        <v>567</v>
      </c>
      <c r="D36" s="16" t="s">
        <v>423</v>
      </c>
      <c r="E36" s="30" t="s">
        <v>517</v>
      </c>
      <c r="F36" s="15" t="s">
        <v>510</v>
      </c>
      <c r="G36" s="16" t="s">
        <v>581</v>
      </c>
      <c r="H36" s="15" t="s">
        <v>504</v>
      </c>
    </row>
    <row r="37" customFormat="false" ht="15" hidden="false" customHeight="false" outlineLevel="0" collapsed="false">
      <c r="A37" s="16" t="s">
        <v>582</v>
      </c>
      <c r="B37" s="16" t="s">
        <v>567</v>
      </c>
      <c r="C37" s="16" t="s">
        <v>567</v>
      </c>
      <c r="D37" s="16" t="s">
        <v>423</v>
      </c>
      <c r="E37" s="30" t="s">
        <v>517</v>
      </c>
      <c r="F37" s="15" t="s">
        <v>510</v>
      </c>
      <c r="G37" s="16" t="s">
        <v>583</v>
      </c>
      <c r="H37" s="15" t="s">
        <v>504</v>
      </c>
    </row>
    <row r="38" customFormat="false" ht="15" hidden="false" customHeight="false" outlineLevel="0" collapsed="false">
      <c r="A38" s="16" t="s">
        <v>584</v>
      </c>
      <c r="B38" s="16" t="s">
        <v>567</v>
      </c>
      <c r="C38" s="16" t="s">
        <v>567</v>
      </c>
      <c r="D38" s="16" t="s">
        <v>425</v>
      </c>
      <c r="E38" s="30" t="s">
        <v>517</v>
      </c>
      <c r="F38" s="15" t="s">
        <v>510</v>
      </c>
      <c r="G38" s="16" t="s">
        <v>585</v>
      </c>
      <c r="H38" s="15" t="s">
        <v>504</v>
      </c>
    </row>
    <row r="39" customFormat="false" ht="29.85" hidden="false" customHeight="false" outlineLevel="0" collapsed="false">
      <c r="A39" s="16" t="s">
        <v>586</v>
      </c>
      <c r="B39" s="16" t="s">
        <v>567</v>
      </c>
      <c r="C39" s="16" t="s">
        <v>567</v>
      </c>
      <c r="D39" s="16" t="s">
        <v>467</v>
      </c>
      <c r="E39" s="29" t="s">
        <v>501</v>
      </c>
      <c r="F39" s="15" t="s">
        <v>510</v>
      </c>
      <c r="G39" s="15" t="s">
        <v>587</v>
      </c>
      <c r="H39" s="15" t="s">
        <v>504</v>
      </c>
    </row>
    <row r="40" customFormat="false" ht="15" hidden="false" customHeight="false" outlineLevel="0" collapsed="false">
      <c r="A40" s="16" t="s">
        <v>588</v>
      </c>
      <c r="B40" s="16" t="s">
        <v>589</v>
      </c>
      <c r="C40" s="16" t="s">
        <v>589</v>
      </c>
      <c r="D40" s="16" t="s">
        <v>409</v>
      </c>
      <c r="E40" s="30" t="s">
        <v>517</v>
      </c>
      <c r="F40" s="15" t="s">
        <v>510</v>
      </c>
      <c r="G40" s="15" t="s">
        <v>590</v>
      </c>
      <c r="H40" s="15" t="s">
        <v>504</v>
      </c>
    </row>
    <row r="41" customFormat="false" ht="15" hidden="false" customHeight="false" outlineLevel="0" collapsed="false">
      <c r="A41" s="16" t="s">
        <v>591</v>
      </c>
      <c r="B41" s="16" t="s">
        <v>589</v>
      </c>
      <c r="C41" s="16" t="s">
        <v>589</v>
      </c>
      <c r="D41" s="16" t="s">
        <v>409</v>
      </c>
      <c r="E41" s="30" t="s">
        <v>517</v>
      </c>
      <c r="F41" s="15" t="s">
        <v>510</v>
      </c>
      <c r="G41" s="15" t="s">
        <v>592</v>
      </c>
      <c r="H41" s="15" t="s">
        <v>504</v>
      </c>
    </row>
    <row r="42" customFormat="false" ht="29.85" hidden="false" customHeight="false" outlineLevel="0" collapsed="false">
      <c r="A42" s="16" t="s">
        <v>593</v>
      </c>
      <c r="B42" s="16" t="s">
        <v>589</v>
      </c>
      <c r="C42" s="16" t="s">
        <v>589</v>
      </c>
      <c r="D42" s="16" t="s">
        <v>416</v>
      </c>
      <c r="E42" s="29" t="s">
        <v>501</v>
      </c>
      <c r="F42" s="15" t="s">
        <v>574</v>
      </c>
      <c r="G42" s="15" t="s">
        <v>594</v>
      </c>
      <c r="H42" s="15" t="s">
        <v>504</v>
      </c>
    </row>
    <row r="43" customFormat="false" ht="15" hidden="false" customHeight="false" outlineLevel="0" collapsed="false">
      <c r="A43" s="16" t="s">
        <v>595</v>
      </c>
      <c r="B43" s="16" t="s">
        <v>589</v>
      </c>
      <c r="C43" s="16" t="s">
        <v>589</v>
      </c>
      <c r="D43" s="16" t="s">
        <v>423</v>
      </c>
      <c r="E43" s="30" t="s">
        <v>517</v>
      </c>
      <c r="F43" s="15" t="s">
        <v>510</v>
      </c>
      <c r="G43" s="16" t="s">
        <v>596</v>
      </c>
      <c r="H43" s="15" t="s">
        <v>504</v>
      </c>
    </row>
    <row r="44" customFormat="false" ht="15" hidden="false" customHeight="false" outlineLevel="0" collapsed="false">
      <c r="A44" s="16" t="s">
        <v>597</v>
      </c>
      <c r="B44" s="16" t="s">
        <v>589</v>
      </c>
      <c r="C44" s="16" t="s">
        <v>589</v>
      </c>
      <c r="D44" s="16" t="s">
        <v>425</v>
      </c>
      <c r="E44" s="29" t="s">
        <v>501</v>
      </c>
      <c r="F44" s="15" t="s">
        <v>502</v>
      </c>
      <c r="G44" s="16" t="s">
        <v>598</v>
      </c>
      <c r="H44" s="15" t="s">
        <v>504</v>
      </c>
    </row>
    <row r="45" customFormat="false" ht="15" hidden="false" customHeight="false" outlineLevel="0" collapsed="false">
      <c r="A45" s="16" t="s">
        <v>599</v>
      </c>
      <c r="B45" s="16" t="s">
        <v>589</v>
      </c>
      <c r="C45" s="16" t="s">
        <v>589</v>
      </c>
      <c r="D45" s="16" t="s">
        <v>425</v>
      </c>
      <c r="E45" s="30" t="s">
        <v>517</v>
      </c>
      <c r="F45" s="15" t="s">
        <v>510</v>
      </c>
      <c r="G45" s="16" t="s">
        <v>600</v>
      </c>
      <c r="H45" s="15" t="s">
        <v>504</v>
      </c>
    </row>
    <row r="46" customFormat="false" ht="29.85" hidden="false" customHeight="false" outlineLevel="0" collapsed="false">
      <c r="A46" s="16" t="s">
        <v>601</v>
      </c>
      <c r="B46" s="16" t="s">
        <v>589</v>
      </c>
      <c r="C46" s="16" t="s">
        <v>589</v>
      </c>
      <c r="D46" s="16" t="s">
        <v>467</v>
      </c>
      <c r="E46" s="29" t="s">
        <v>501</v>
      </c>
      <c r="F46" s="15" t="s">
        <v>510</v>
      </c>
      <c r="G46" s="15" t="s">
        <v>602</v>
      </c>
      <c r="H46" s="15" t="s">
        <v>504</v>
      </c>
    </row>
    <row r="47" customFormat="false" ht="15" hidden="false" customHeight="false" outlineLevel="0" collapsed="false">
      <c r="A47" s="16" t="s">
        <v>603</v>
      </c>
      <c r="B47" s="16" t="s">
        <v>604</v>
      </c>
      <c r="C47" s="16" t="s">
        <v>604</v>
      </c>
      <c r="D47" s="16" t="s">
        <v>405</v>
      </c>
      <c r="E47" s="29" t="s">
        <v>501</v>
      </c>
      <c r="F47" s="15" t="s">
        <v>510</v>
      </c>
      <c r="G47" s="16" t="s">
        <v>605</v>
      </c>
      <c r="H47" s="15" t="s">
        <v>504</v>
      </c>
    </row>
    <row r="48" customFormat="false" ht="15" hidden="false" customHeight="false" outlineLevel="0" collapsed="false">
      <c r="A48" s="16" t="s">
        <v>606</v>
      </c>
      <c r="B48" s="16" t="s">
        <v>604</v>
      </c>
      <c r="C48" s="16" t="s">
        <v>604</v>
      </c>
      <c r="D48" s="16" t="s">
        <v>409</v>
      </c>
      <c r="E48" s="30" t="s">
        <v>517</v>
      </c>
      <c r="F48" s="15" t="s">
        <v>510</v>
      </c>
      <c r="G48" s="15" t="s">
        <v>607</v>
      </c>
      <c r="H48" s="15" t="s">
        <v>504</v>
      </c>
    </row>
    <row r="49" customFormat="false" ht="15" hidden="false" customHeight="false" outlineLevel="0" collapsed="false">
      <c r="A49" s="16" t="s">
        <v>608</v>
      </c>
      <c r="B49" s="16" t="s">
        <v>604</v>
      </c>
      <c r="C49" s="16" t="s">
        <v>604</v>
      </c>
      <c r="D49" s="16" t="s">
        <v>409</v>
      </c>
      <c r="E49" s="30" t="s">
        <v>517</v>
      </c>
      <c r="F49" s="15" t="s">
        <v>510</v>
      </c>
      <c r="G49" s="15" t="s">
        <v>609</v>
      </c>
      <c r="H49" s="15" t="s">
        <v>504</v>
      </c>
    </row>
    <row r="50" customFormat="false" ht="29.85" hidden="false" customHeight="false" outlineLevel="0" collapsed="false">
      <c r="A50" s="16" t="s">
        <v>610</v>
      </c>
      <c r="B50" s="16" t="s">
        <v>604</v>
      </c>
      <c r="C50" s="16" t="s">
        <v>604</v>
      </c>
      <c r="D50" s="16" t="s">
        <v>416</v>
      </c>
      <c r="E50" s="29" t="s">
        <v>501</v>
      </c>
      <c r="F50" s="15" t="s">
        <v>574</v>
      </c>
      <c r="G50" s="15" t="s">
        <v>611</v>
      </c>
      <c r="H50" s="15" t="s">
        <v>504</v>
      </c>
    </row>
    <row r="51" customFormat="false" ht="15" hidden="false" customHeight="false" outlineLevel="0" collapsed="false">
      <c r="A51" s="16" t="s">
        <v>612</v>
      </c>
      <c r="B51" s="16" t="s">
        <v>604</v>
      </c>
      <c r="C51" s="16" t="s">
        <v>604</v>
      </c>
      <c r="D51" s="16" t="s">
        <v>423</v>
      </c>
      <c r="E51" s="29" t="s">
        <v>501</v>
      </c>
      <c r="F51" s="15" t="s">
        <v>510</v>
      </c>
      <c r="G51" s="16" t="s">
        <v>613</v>
      </c>
      <c r="H51" s="15" t="s">
        <v>504</v>
      </c>
    </row>
    <row r="52" customFormat="false" ht="15" hidden="false" customHeight="false" outlineLevel="0" collapsed="false">
      <c r="A52" s="16" t="s">
        <v>614</v>
      </c>
      <c r="B52" s="16" t="s">
        <v>604</v>
      </c>
      <c r="C52" s="16" t="s">
        <v>604</v>
      </c>
      <c r="D52" s="16" t="s">
        <v>423</v>
      </c>
      <c r="E52" s="30" t="s">
        <v>517</v>
      </c>
      <c r="F52" s="15" t="s">
        <v>510</v>
      </c>
      <c r="G52" s="16" t="s">
        <v>615</v>
      </c>
      <c r="H52" s="15" t="s">
        <v>504</v>
      </c>
    </row>
    <row r="53" customFormat="false" ht="15" hidden="false" customHeight="false" outlineLevel="0" collapsed="false">
      <c r="A53" s="16" t="s">
        <v>616</v>
      </c>
      <c r="B53" s="16" t="s">
        <v>604</v>
      </c>
      <c r="C53" s="16" t="s">
        <v>604</v>
      </c>
      <c r="D53" s="16" t="s">
        <v>425</v>
      </c>
      <c r="E53" s="30" t="s">
        <v>517</v>
      </c>
      <c r="F53" s="15" t="s">
        <v>510</v>
      </c>
      <c r="G53" s="16" t="s">
        <v>617</v>
      </c>
      <c r="H53" s="15" t="s">
        <v>504</v>
      </c>
    </row>
    <row r="54" customFormat="false" ht="15" hidden="false" customHeight="false" outlineLevel="0" collapsed="false">
      <c r="A54" s="16" t="s">
        <v>618</v>
      </c>
      <c r="B54" s="16" t="s">
        <v>604</v>
      </c>
      <c r="C54" s="16" t="s">
        <v>604</v>
      </c>
      <c r="D54" s="16" t="s">
        <v>433</v>
      </c>
      <c r="E54" s="30" t="s">
        <v>517</v>
      </c>
      <c r="F54" s="15" t="s">
        <v>510</v>
      </c>
      <c r="G54" s="15" t="s">
        <v>619</v>
      </c>
      <c r="H54" s="15" t="s">
        <v>504</v>
      </c>
    </row>
    <row r="55" customFormat="false" ht="29.85" hidden="false" customHeight="false" outlineLevel="0" collapsed="false">
      <c r="A55" s="16" t="s">
        <v>620</v>
      </c>
      <c r="B55" s="16" t="s">
        <v>604</v>
      </c>
      <c r="C55" s="16" t="s">
        <v>604</v>
      </c>
      <c r="D55" s="16" t="s">
        <v>467</v>
      </c>
      <c r="E55" s="29" t="s">
        <v>501</v>
      </c>
      <c r="F55" s="15" t="s">
        <v>510</v>
      </c>
      <c r="G55" s="15" t="s">
        <v>621</v>
      </c>
      <c r="H55" s="15" t="s">
        <v>504</v>
      </c>
    </row>
    <row r="56" customFormat="false" ht="15" hidden="false" customHeight="false" outlineLevel="0" collapsed="false">
      <c r="A56" s="16" t="s">
        <v>622</v>
      </c>
      <c r="B56" s="16" t="s">
        <v>604</v>
      </c>
      <c r="C56" s="16" t="s">
        <v>604</v>
      </c>
      <c r="D56" s="16" t="s">
        <v>467</v>
      </c>
      <c r="E56" s="29" t="s">
        <v>501</v>
      </c>
      <c r="F56" s="15" t="s">
        <v>510</v>
      </c>
      <c r="G56" s="15" t="s">
        <v>623</v>
      </c>
      <c r="H56" s="15" t="s">
        <v>504</v>
      </c>
    </row>
    <row r="57" customFormat="false" ht="15" hidden="false" customHeight="false" outlineLevel="0" collapsed="false">
      <c r="A57" s="16" t="s">
        <v>624</v>
      </c>
      <c r="B57" s="16" t="s">
        <v>625</v>
      </c>
      <c r="C57" s="16" t="s">
        <v>625</v>
      </c>
      <c r="D57" s="16" t="s">
        <v>405</v>
      </c>
      <c r="E57" s="29" t="s">
        <v>501</v>
      </c>
      <c r="F57" s="15" t="s">
        <v>510</v>
      </c>
      <c r="G57" s="16" t="s">
        <v>626</v>
      </c>
      <c r="H57" s="15" t="s">
        <v>504</v>
      </c>
    </row>
    <row r="58" customFormat="false" ht="15" hidden="false" customHeight="false" outlineLevel="0" collapsed="false">
      <c r="A58" s="16" t="s">
        <v>627</v>
      </c>
      <c r="B58" s="16" t="s">
        <v>625</v>
      </c>
      <c r="C58" s="16" t="s">
        <v>625</v>
      </c>
      <c r="D58" s="16" t="s">
        <v>409</v>
      </c>
      <c r="E58" s="30" t="s">
        <v>517</v>
      </c>
      <c r="F58" s="15" t="s">
        <v>510</v>
      </c>
      <c r="G58" s="16" t="s">
        <v>628</v>
      </c>
      <c r="H58" s="15" t="s">
        <v>504</v>
      </c>
    </row>
    <row r="59" customFormat="false" ht="29.85" hidden="false" customHeight="false" outlineLevel="0" collapsed="false">
      <c r="A59" s="16" t="s">
        <v>629</v>
      </c>
      <c r="B59" s="16" t="s">
        <v>625</v>
      </c>
      <c r="C59" s="16" t="s">
        <v>625</v>
      </c>
      <c r="D59" s="16" t="s">
        <v>409</v>
      </c>
      <c r="E59" s="30" t="s">
        <v>517</v>
      </c>
      <c r="F59" s="15" t="s">
        <v>510</v>
      </c>
      <c r="G59" s="15" t="s">
        <v>630</v>
      </c>
      <c r="H59" s="15" t="s">
        <v>504</v>
      </c>
    </row>
    <row r="60" customFormat="false" ht="29.85" hidden="false" customHeight="false" outlineLevel="0" collapsed="false">
      <c r="A60" s="16" t="s">
        <v>631</v>
      </c>
      <c r="B60" s="16" t="s">
        <v>625</v>
      </c>
      <c r="C60" s="16" t="s">
        <v>625</v>
      </c>
      <c r="D60" s="16" t="s">
        <v>416</v>
      </c>
      <c r="E60" s="29" t="s">
        <v>501</v>
      </c>
      <c r="F60" s="15" t="s">
        <v>574</v>
      </c>
      <c r="G60" s="15" t="s">
        <v>632</v>
      </c>
      <c r="H60" s="15" t="s">
        <v>504</v>
      </c>
    </row>
    <row r="61" customFormat="false" ht="15" hidden="false" customHeight="false" outlineLevel="0" collapsed="false">
      <c r="A61" s="16" t="s">
        <v>633</v>
      </c>
      <c r="B61" s="16" t="s">
        <v>625</v>
      </c>
      <c r="C61" s="16" t="s">
        <v>625</v>
      </c>
      <c r="D61" s="16" t="s">
        <v>423</v>
      </c>
      <c r="E61" s="30" t="s">
        <v>517</v>
      </c>
      <c r="F61" s="15" t="s">
        <v>510</v>
      </c>
      <c r="G61" s="16" t="s">
        <v>634</v>
      </c>
      <c r="H61" s="15" t="s">
        <v>504</v>
      </c>
    </row>
    <row r="62" customFormat="false" ht="15" hidden="false" customHeight="false" outlineLevel="0" collapsed="false">
      <c r="A62" s="16" t="s">
        <v>635</v>
      </c>
      <c r="B62" s="16" t="s">
        <v>625</v>
      </c>
      <c r="C62" s="16" t="s">
        <v>625</v>
      </c>
      <c r="D62" s="16" t="s">
        <v>425</v>
      </c>
      <c r="E62" s="29" t="s">
        <v>501</v>
      </c>
      <c r="F62" s="15" t="s">
        <v>510</v>
      </c>
      <c r="G62" s="16" t="s">
        <v>636</v>
      </c>
      <c r="H62" s="15" t="s">
        <v>504</v>
      </c>
    </row>
    <row r="63" customFormat="false" ht="29.85" hidden="false" customHeight="false" outlineLevel="0" collapsed="false">
      <c r="A63" s="16" t="s">
        <v>637</v>
      </c>
      <c r="B63" s="16" t="s">
        <v>625</v>
      </c>
      <c r="C63" s="16" t="s">
        <v>625</v>
      </c>
      <c r="D63" s="16" t="s">
        <v>467</v>
      </c>
      <c r="E63" s="29" t="s">
        <v>501</v>
      </c>
      <c r="F63" s="15" t="s">
        <v>510</v>
      </c>
      <c r="G63" s="15" t="s">
        <v>638</v>
      </c>
      <c r="H63" s="15" t="s">
        <v>504</v>
      </c>
    </row>
    <row r="64" customFormat="false" ht="15" hidden="false" customHeight="false" outlineLevel="0" collapsed="false">
      <c r="A64" s="16" t="s">
        <v>639</v>
      </c>
      <c r="B64" s="16" t="s">
        <v>640</v>
      </c>
      <c r="C64" s="16" t="s">
        <v>640</v>
      </c>
      <c r="D64" s="16" t="s">
        <v>409</v>
      </c>
      <c r="E64" s="29" t="s">
        <v>501</v>
      </c>
      <c r="F64" s="15" t="s">
        <v>510</v>
      </c>
      <c r="G64" s="15" t="s">
        <v>641</v>
      </c>
      <c r="H64" s="15" t="s">
        <v>504</v>
      </c>
    </row>
    <row r="65" customFormat="false" ht="15" hidden="false" customHeight="false" outlineLevel="0" collapsed="false">
      <c r="A65" s="16" t="s">
        <v>642</v>
      </c>
      <c r="B65" s="16" t="s">
        <v>640</v>
      </c>
      <c r="C65" s="16" t="s">
        <v>640</v>
      </c>
      <c r="D65" s="16" t="s">
        <v>416</v>
      </c>
      <c r="E65" s="29" t="s">
        <v>501</v>
      </c>
      <c r="F65" s="15" t="s">
        <v>643</v>
      </c>
      <c r="G65" s="15" t="s">
        <v>644</v>
      </c>
      <c r="H65" s="15" t="s">
        <v>504</v>
      </c>
    </row>
    <row r="66" customFormat="false" ht="15" hidden="false" customHeight="false" outlineLevel="0" collapsed="false">
      <c r="A66" s="16" t="s">
        <v>645</v>
      </c>
      <c r="B66" s="16" t="s">
        <v>640</v>
      </c>
      <c r="C66" s="16" t="s">
        <v>640</v>
      </c>
      <c r="D66" s="16" t="s">
        <v>423</v>
      </c>
      <c r="E66" s="30" t="s">
        <v>517</v>
      </c>
      <c r="F66" s="15" t="s">
        <v>510</v>
      </c>
      <c r="G66" s="15" t="s">
        <v>646</v>
      </c>
      <c r="H66" s="15" t="s">
        <v>504</v>
      </c>
    </row>
    <row r="67" customFormat="false" ht="15" hidden="false" customHeight="false" outlineLevel="0" collapsed="false">
      <c r="A67" s="16" t="s">
        <v>647</v>
      </c>
      <c r="B67" s="16" t="s">
        <v>640</v>
      </c>
      <c r="C67" s="16" t="s">
        <v>640</v>
      </c>
      <c r="D67" s="16" t="s">
        <v>423</v>
      </c>
      <c r="E67" s="30" t="s">
        <v>517</v>
      </c>
      <c r="F67" s="15" t="s">
        <v>510</v>
      </c>
      <c r="G67" s="16" t="s">
        <v>596</v>
      </c>
      <c r="H67" s="15" t="s">
        <v>504</v>
      </c>
    </row>
    <row r="68" customFormat="false" ht="15" hidden="false" customHeight="false" outlineLevel="0" collapsed="false">
      <c r="A68" s="16" t="s">
        <v>648</v>
      </c>
      <c r="B68" s="16" t="s">
        <v>640</v>
      </c>
      <c r="C68" s="16" t="s">
        <v>640</v>
      </c>
      <c r="D68" s="16" t="s">
        <v>425</v>
      </c>
      <c r="E68" s="30" t="s">
        <v>517</v>
      </c>
      <c r="F68" s="15" t="s">
        <v>510</v>
      </c>
      <c r="G68" s="16" t="s">
        <v>649</v>
      </c>
      <c r="H68" s="15" t="s">
        <v>504</v>
      </c>
    </row>
    <row r="69" customFormat="false" ht="15" hidden="false" customHeight="false" outlineLevel="0" collapsed="false">
      <c r="A69" s="16" t="s">
        <v>650</v>
      </c>
      <c r="B69" s="16" t="s">
        <v>640</v>
      </c>
      <c r="C69" s="16" t="s">
        <v>640</v>
      </c>
      <c r="D69" s="16" t="s">
        <v>433</v>
      </c>
      <c r="E69" s="29" t="s">
        <v>501</v>
      </c>
      <c r="F69" s="15" t="s">
        <v>510</v>
      </c>
      <c r="G69" s="15" t="s">
        <v>651</v>
      </c>
      <c r="H69" s="15" t="s">
        <v>504</v>
      </c>
    </row>
    <row r="70" customFormat="false" ht="15" hidden="false" customHeight="false" outlineLevel="0" collapsed="false">
      <c r="A70" s="16" t="s">
        <v>652</v>
      </c>
      <c r="B70" s="16" t="s">
        <v>640</v>
      </c>
      <c r="C70" s="16" t="s">
        <v>640</v>
      </c>
      <c r="D70" s="16" t="s">
        <v>467</v>
      </c>
      <c r="E70" s="29" t="s">
        <v>501</v>
      </c>
      <c r="F70" s="15" t="s">
        <v>510</v>
      </c>
      <c r="G70" s="15" t="s">
        <v>653</v>
      </c>
      <c r="H70" s="15" t="s">
        <v>504</v>
      </c>
    </row>
    <row r="71" customFormat="false" ht="15" hidden="false" customHeight="false" outlineLevel="0" collapsed="false">
      <c r="A71" s="16" t="s">
        <v>654</v>
      </c>
      <c r="B71" s="16" t="s">
        <v>655</v>
      </c>
      <c r="C71" s="16" t="s">
        <v>655</v>
      </c>
      <c r="D71" s="16" t="s">
        <v>409</v>
      </c>
      <c r="E71" s="30" t="s">
        <v>517</v>
      </c>
      <c r="F71" s="15" t="s">
        <v>510</v>
      </c>
      <c r="G71" s="15" t="s">
        <v>656</v>
      </c>
      <c r="H71" s="15" t="s">
        <v>504</v>
      </c>
    </row>
    <row r="72" customFormat="false" ht="29.85" hidden="false" customHeight="false" outlineLevel="0" collapsed="false">
      <c r="A72" s="16" t="s">
        <v>657</v>
      </c>
      <c r="B72" s="16" t="s">
        <v>655</v>
      </c>
      <c r="C72" s="16" t="s">
        <v>655</v>
      </c>
      <c r="D72" s="16" t="s">
        <v>416</v>
      </c>
      <c r="E72" s="29" t="s">
        <v>501</v>
      </c>
      <c r="F72" s="15" t="s">
        <v>574</v>
      </c>
      <c r="G72" s="15" t="s">
        <v>658</v>
      </c>
      <c r="H72" s="15" t="s">
        <v>504</v>
      </c>
    </row>
    <row r="73" customFormat="false" ht="15" hidden="false" customHeight="false" outlineLevel="0" collapsed="false">
      <c r="A73" s="16" t="s">
        <v>659</v>
      </c>
      <c r="B73" s="16" t="s">
        <v>655</v>
      </c>
      <c r="C73" s="16" t="s">
        <v>655</v>
      </c>
      <c r="D73" s="16" t="s">
        <v>423</v>
      </c>
      <c r="E73" s="30" t="s">
        <v>517</v>
      </c>
      <c r="F73" s="15" t="s">
        <v>510</v>
      </c>
      <c r="G73" s="16" t="s">
        <v>660</v>
      </c>
      <c r="H73" s="15" t="s">
        <v>504</v>
      </c>
    </row>
    <row r="74" customFormat="false" ht="15" hidden="false" customHeight="false" outlineLevel="0" collapsed="false">
      <c r="A74" s="16" t="s">
        <v>661</v>
      </c>
      <c r="B74" s="16" t="s">
        <v>655</v>
      </c>
      <c r="C74" s="16" t="s">
        <v>655</v>
      </c>
      <c r="D74" s="16" t="s">
        <v>423</v>
      </c>
      <c r="E74" s="30" t="s">
        <v>517</v>
      </c>
      <c r="F74" s="15" t="s">
        <v>510</v>
      </c>
      <c r="G74" s="15" t="s">
        <v>662</v>
      </c>
      <c r="H74" s="15" t="s">
        <v>504</v>
      </c>
    </row>
    <row r="75" customFormat="false" ht="15" hidden="false" customHeight="false" outlineLevel="0" collapsed="false">
      <c r="A75" s="16" t="s">
        <v>663</v>
      </c>
      <c r="B75" s="16" t="s">
        <v>655</v>
      </c>
      <c r="C75" s="16" t="s">
        <v>655</v>
      </c>
      <c r="D75" s="16" t="s">
        <v>425</v>
      </c>
      <c r="E75" s="30" t="s">
        <v>517</v>
      </c>
      <c r="F75" s="15" t="s">
        <v>510</v>
      </c>
      <c r="G75" s="16" t="s">
        <v>664</v>
      </c>
      <c r="H75" s="15" t="s">
        <v>504</v>
      </c>
    </row>
    <row r="76" customFormat="false" ht="15" hidden="false" customHeight="false" outlineLevel="0" collapsed="false">
      <c r="A76" s="16" t="s">
        <v>665</v>
      </c>
      <c r="B76" s="16" t="s">
        <v>655</v>
      </c>
      <c r="C76" s="16" t="s">
        <v>655</v>
      </c>
      <c r="D76" s="16" t="s">
        <v>433</v>
      </c>
      <c r="E76" s="30" t="s">
        <v>517</v>
      </c>
      <c r="F76" s="15" t="s">
        <v>510</v>
      </c>
      <c r="G76" s="15" t="s">
        <v>666</v>
      </c>
      <c r="H76" s="15" t="s">
        <v>504</v>
      </c>
    </row>
    <row r="77" customFormat="false" ht="15" hidden="false" customHeight="false" outlineLevel="0" collapsed="false">
      <c r="A77" s="16" t="s">
        <v>667</v>
      </c>
      <c r="B77" s="16" t="s">
        <v>655</v>
      </c>
      <c r="C77" s="16" t="s">
        <v>655</v>
      </c>
      <c r="D77" s="16" t="s">
        <v>467</v>
      </c>
      <c r="E77" s="29" t="s">
        <v>501</v>
      </c>
      <c r="F77" s="15" t="s">
        <v>510</v>
      </c>
      <c r="G77" s="15" t="s">
        <v>668</v>
      </c>
      <c r="H77" s="15" t="s">
        <v>504</v>
      </c>
    </row>
    <row r="78" customFormat="false" ht="15" hidden="false" customHeight="false" outlineLevel="0" collapsed="false">
      <c r="A78" s="16" t="s">
        <v>669</v>
      </c>
      <c r="B78" s="16" t="s">
        <v>670</v>
      </c>
      <c r="C78" s="16" t="s">
        <v>670</v>
      </c>
      <c r="D78" s="16" t="s">
        <v>409</v>
      </c>
      <c r="E78" s="30" t="s">
        <v>517</v>
      </c>
      <c r="F78" s="15" t="s">
        <v>510</v>
      </c>
      <c r="G78" s="15" t="s">
        <v>671</v>
      </c>
      <c r="H78" s="15" t="s">
        <v>504</v>
      </c>
    </row>
    <row r="79" customFormat="false" ht="29.85" hidden="false" customHeight="false" outlineLevel="0" collapsed="false">
      <c r="A79" s="16" t="s">
        <v>672</v>
      </c>
      <c r="B79" s="16" t="s">
        <v>670</v>
      </c>
      <c r="C79" s="16" t="s">
        <v>670</v>
      </c>
      <c r="D79" s="16" t="s">
        <v>416</v>
      </c>
      <c r="E79" s="29" t="s">
        <v>501</v>
      </c>
      <c r="F79" s="15" t="s">
        <v>574</v>
      </c>
      <c r="G79" s="15" t="s">
        <v>673</v>
      </c>
      <c r="H79" s="15" t="s">
        <v>504</v>
      </c>
    </row>
    <row r="80" customFormat="false" ht="15" hidden="false" customHeight="false" outlineLevel="0" collapsed="false">
      <c r="A80" s="16" t="s">
        <v>674</v>
      </c>
      <c r="B80" s="16" t="s">
        <v>670</v>
      </c>
      <c r="C80" s="16" t="s">
        <v>670</v>
      </c>
      <c r="D80" s="16" t="s">
        <v>423</v>
      </c>
      <c r="E80" s="30" t="s">
        <v>517</v>
      </c>
      <c r="F80" s="15" t="s">
        <v>510</v>
      </c>
      <c r="G80" s="16" t="s">
        <v>675</v>
      </c>
      <c r="H80" s="15" t="s">
        <v>504</v>
      </c>
    </row>
    <row r="81" customFormat="false" ht="15" hidden="false" customHeight="false" outlineLevel="0" collapsed="false">
      <c r="A81" s="16" t="s">
        <v>676</v>
      </c>
      <c r="B81" s="16" t="s">
        <v>670</v>
      </c>
      <c r="C81" s="16" t="s">
        <v>670</v>
      </c>
      <c r="D81" s="16" t="s">
        <v>423</v>
      </c>
      <c r="E81" s="30" t="s">
        <v>517</v>
      </c>
      <c r="F81" s="15" t="s">
        <v>510</v>
      </c>
      <c r="G81" s="16" t="s">
        <v>615</v>
      </c>
      <c r="H81" s="15" t="s">
        <v>504</v>
      </c>
    </row>
    <row r="82" customFormat="false" ht="15" hidden="false" customHeight="false" outlineLevel="0" collapsed="false">
      <c r="A82" s="16" t="s">
        <v>677</v>
      </c>
      <c r="B82" s="16" t="s">
        <v>670</v>
      </c>
      <c r="C82" s="16" t="s">
        <v>670</v>
      </c>
      <c r="D82" s="16" t="s">
        <v>425</v>
      </c>
      <c r="E82" s="30" t="s">
        <v>517</v>
      </c>
      <c r="F82" s="15" t="s">
        <v>510</v>
      </c>
      <c r="G82" s="16" t="s">
        <v>664</v>
      </c>
      <c r="H82" s="15" t="s">
        <v>504</v>
      </c>
    </row>
    <row r="83" customFormat="false" ht="15" hidden="false" customHeight="false" outlineLevel="0" collapsed="false">
      <c r="A83" s="16" t="s">
        <v>678</v>
      </c>
      <c r="B83" s="16" t="s">
        <v>670</v>
      </c>
      <c r="C83" s="16" t="s">
        <v>670</v>
      </c>
      <c r="D83" s="16" t="s">
        <v>433</v>
      </c>
      <c r="E83" s="30" t="s">
        <v>517</v>
      </c>
      <c r="F83" s="15" t="s">
        <v>510</v>
      </c>
      <c r="G83" s="15" t="s">
        <v>679</v>
      </c>
      <c r="H83" s="15" t="s">
        <v>504</v>
      </c>
    </row>
    <row r="84" customFormat="false" ht="15" hidden="false" customHeight="false" outlineLevel="0" collapsed="false">
      <c r="A84" s="16" t="s">
        <v>680</v>
      </c>
      <c r="B84" s="16" t="s">
        <v>670</v>
      </c>
      <c r="C84" s="16" t="s">
        <v>670</v>
      </c>
      <c r="D84" s="16" t="s">
        <v>467</v>
      </c>
      <c r="E84" s="29" t="s">
        <v>501</v>
      </c>
      <c r="F84" s="15" t="s">
        <v>510</v>
      </c>
      <c r="G84" s="15" t="s">
        <v>623</v>
      </c>
      <c r="H84" s="15" t="s">
        <v>504</v>
      </c>
    </row>
    <row r="85" customFormat="false" ht="15" hidden="false" customHeight="false" outlineLevel="0" collapsed="false">
      <c r="A85" s="16" t="s">
        <v>681</v>
      </c>
      <c r="B85" s="16" t="s">
        <v>682</v>
      </c>
      <c r="C85" s="16" t="s">
        <v>682</v>
      </c>
      <c r="D85" s="16" t="s">
        <v>409</v>
      </c>
      <c r="E85" s="30" t="s">
        <v>517</v>
      </c>
      <c r="F85" s="15" t="s">
        <v>510</v>
      </c>
      <c r="G85" s="15" t="s">
        <v>683</v>
      </c>
      <c r="H85" s="15" t="s">
        <v>504</v>
      </c>
    </row>
    <row r="86" customFormat="false" ht="29.85" hidden="false" customHeight="false" outlineLevel="0" collapsed="false">
      <c r="A86" s="16" t="s">
        <v>684</v>
      </c>
      <c r="B86" s="16" t="s">
        <v>682</v>
      </c>
      <c r="C86" s="16" t="s">
        <v>682</v>
      </c>
      <c r="D86" s="16" t="s">
        <v>416</v>
      </c>
      <c r="E86" s="29" t="s">
        <v>501</v>
      </c>
      <c r="F86" s="15" t="s">
        <v>574</v>
      </c>
      <c r="G86" s="15" t="s">
        <v>685</v>
      </c>
      <c r="H86" s="15" t="s">
        <v>504</v>
      </c>
    </row>
    <row r="87" customFormat="false" ht="15" hidden="false" customHeight="false" outlineLevel="0" collapsed="false">
      <c r="A87" s="16" t="s">
        <v>686</v>
      </c>
      <c r="B87" s="16" t="s">
        <v>682</v>
      </c>
      <c r="C87" s="16" t="s">
        <v>682</v>
      </c>
      <c r="D87" s="16" t="s">
        <v>423</v>
      </c>
      <c r="E87" s="30" t="s">
        <v>517</v>
      </c>
      <c r="F87" s="15" t="s">
        <v>510</v>
      </c>
      <c r="G87" s="16" t="s">
        <v>687</v>
      </c>
      <c r="H87" s="15" t="s">
        <v>504</v>
      </c>
    </row>
    <row r="88" customFormat="false" ht="15" hidden="false" customHeight="false" outlineLevel="0" collapsed="false">
      <c r="A88" s="16" t="s">
        <v>688</v>
      </c>
      <c r="B88" s="16" t="s">
        <v>682</v>
      </c>
      <c r="C88" s="16" t="s">
        <v>682</v>
      </c>
      <c r="D88" s="16" t="s">
        <v>423</v>
      </c>
      <c r="E88" s="30" t="s">
        <v>517</v>
      </c>
      <c r="F88" s="15" t="s">
        <v>510</v>
      </c>
      <c r="G88" s="16" t="s">
        <v>689</v>
      </c>
      <c r="H88" s="15" t="s">
        <v>504</v>
      </c>
    </row>
    <row r="89" customFormat="false" ht="15" hidden="false" customHeight="false" outlineLevel="0" collapsed="false">
      <c r="A89" s="16" t="s">
        <v>690</v>
      </c>
      <c r="B89" s="16" t="s">
        <v>682</v>
      </c>
      <c r="C89" s="16" t="s">
        <v>682</v>
      </c>
      <c r="D89" s="16" t="s">
        <v>425</v>
      </c>
      <c r="E89" s="29" t="s">
        <v>501</v>
      </c>
      <c r="F89" s="15" t="s">
        <v>510</v>
      </c>
      <c r="G89" s="16" t="s">
        <v>691</v>
      </c>
      <c r="H89" s="15" t="s">
        <v>504</v>
      </c>
    </row>
    <row r="90" customFormat="false" ht="29.85" hidden="false" customHeight="false" outlineLevel="0" collapsed="false">
      <c r="A90" s="16" t="s">
        <v>692</v>
      </c>
      <c r="B90" s="16" t="s">
        <v>682</v>
      </c>
      <c r="C90" s="16" t="s">
        <v>682</v>
      </c>
      <c r="D90" s="16" t="s">
        <v>433</v>
      </c>
      <c r="E90" s="30" t="s">
        <v>517</v>
      </c>
      <c r="F90" s="15" t="s">
        <v>510</v>
      </c>
      <c r="G90" s="15" t="s">
        <v>693</v>
      </c>
      <c r="H90" s="15" t="s">
        <v>504</v>
      </c>
    </row>
    <row r="91" customFormat="false" ht="29.85" hidden="false" customHeight="false" outlineLevel="0" collapsed="false">
      <c r="A91" s="16" t="s">
        <v>694</v>
      </c>
      <c r="B91" s="16" t="s">
        <v>682</v>
      </c>
      <c r="C91" s="16" t="s">
        <v>682</v>
      </c>
      <c r="D91" s="16" t="s">
        <v>467</v>
      </c>
      <c r="E91" s="29" t="s">
        <v>501</v>
      </c>
      <c r="F91" s="15" t="s">
        <v>510</v>
      </c>
      <c r="G91" s="15" t="s">
        <v>695</v>
      </c>
      <c r="H91" s="15" t="s">
        <v>504</v>
      </c>
    </row>
    <row r="92" customFormat="false" ht="15" hidden="false" customHeight="false" outlineLevel="0" collapsed="false">
      <c r="A92" s="16" t="s">
        <v>696</v>
      </c>
      <c r="B92" s="16" t="s">
        <v>697</v>
      </c>
      <c r="C92" s="16" t="s">
        <v>698</v>
      </c>
      <c r="D92" s="16" t="s">
        <v>399</v>
      </c>
      <c r="E92" s="30" t="s">
        <v>517</v>
      </c>
      <c r="F92" s="15" t="s">
        <v>510</v>
      </c>
      <c r="G92" s="15" t="s">
        <v>699</v>
      </c>
      <c r="H92" s="16" t="s">
        <v>697</v>
      </c>
    </row>
    <row r="93" customFormat="false" ht="15" hidden="false" customHeight="false" outlineLevel="0" collapsed="false">
      <c r="A93" s="16" t="s">
        <v>700</v>
      </c>
      <c r="B93" s="16" t="s">
        <v>697</v>
      </c>
      <c r="C93" s="16" t="s">
        <v>604</v>
      </c>
      <c r="D93" s="16" t="s">
        <v>399</v>
      </c>
      <c r="E93" s="30" t="s">
        <v>517</v>
      </c>
      <c r="F93" s="15" t="s">
        <v>510</v>
      </c>
      <c r="G93" s="15" t="s">
        <v>699</v>
      </c>
      <c r="H93" s="16" t="s">
        <v>697</v>
      </c>
    </row>
    <row r="94" customFormat="false" ht="23.85" hidden="false" customHeight="false" outlineLevel="0" collapsed="false">
      <c r="A94" s="16" t="s">
        <v>701</v>
      </c>
      <c r="B94" s="16" t="s">
        <v>697</v>
      </c>
      <c r="C94" s="16" t="s">
        <v>702</v>
      </c>
      <c r="D94" s="16" t="s">
        <v>405</v>
      </c>
      <c r="E94" s="29" t="s">
        <v>501</v>
      </c>
      <c r="F94" s="15" t="s">
        <v>510</v>
      </c>
      <c r="G94" s="15" t="s">
        <v>703</v>
      </c>
      <c r="H94" s="16" t="s">
        <v>697</v>
      </c>
    </row>
    <row r="95" customFormat="false" ht="23.85" hidden="false" customHeight="false" outlineLevel="0" collapsed="false">
      <c r="A95" s="16" t="s">
        <v>704</v>
      </c>
      <c r="B95" s="16" t="s">
        <v>697</v>
      </c>
      <c r="C95" s="16" t="s">
        <v>552</v>
      </c>
      <c r="D95" s="16" t="s">
        <v>423</v>
      </c>
      <c r="E95" s="29" t="s">
        <v>501</v>
      </c>
      <c r="F95" s="15" t="s">
        <v>542</v>
      </c>
      <c r="G95" s="15" t="s">
        <v>705</v>
      </c>
      <c r="H95" s="16" t="s">
        <v>697</v>
      </c>
    </row>
  </sheetData>
  <autoFilter ref="A3:H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31" t="s">
        <v>492</v>
      </c>
      <c r="B1" s="31" t="s">
        <v>706</v>
      </c>
      <c r="C1" s="31" t="s">
        <v>517</v>
      </c>
      <c r="D1" s="31" t="s">
        <v>501</v>
      </c>
      <c r="E1" s="31" t="s">
        <v>707</v>
      </c>
    </row>
    <row r="2" customFormat="false" ht="15" hidden="false" customHeight="false" outlineLevel="0" collapsed="false">
      <c r="A2" s="32" t="s">
        <v>499</v>
      </c>
      <c r="B2" s="32" t="s">
        <v>708</v>
      </c>
      <c r="C2" s="32" t="n">
        <f aca="false">COUNTIFS(ルール一覧!$B:$B,A2,ルール一覧!$E:$E,"エラー")</f>
        <v>3</v>
      </c>
      <c r="D2" s="32" t="n">
        <f aca="false">COUNTIFS(ルール一覧!$B:$B,A2,ルール一覧!$E:$E,"警告")</f>
        <v>13</v>
      </c>
      <c r="E2" s="32" t="n">
        <f aca="false">C2+D2</f>
        <v>16</v>
      </c>
    </row>
    <row r="3" customFormat="false" ht="15" hidden="false" customHeight="false" outlineLevel="0" collapsed="false">
      <c r="A3" s="33" t="s">
        <v>540</v>
      </c>
      <c r="B3" s="32" t="s">
        <v>709</v>
      </c>
      <c r="C3" s="32" t="n">
        <f aca="false">COUNTIFS(ルール一覧!$B:$B,A3,ルール一覧!$E:$E,"エラー")</f>
        <v>0</v>
      </c>
      <c r="D3" s="32" t="n">
        <f aca="false">COUNTIFS(ルール一覧!$B:$B,A3,ルール一覧!$E:$E,"警告")</f>
        <v>10</v>
      </c>
      <c r="E3" s="32" t="n">
        <f aca="false">C3+D3</f>
        <v>10</v>
      </c>
    </row>
    <row r="4" customFormat="false" ht="15" hidden="false" customHeight="false" outlineLevel="0" collapsed="false">
      <c r="A4" s="33" t="s">
        <v>567</v>
      </c>
      <c r="B4" s="33" t="s">
        <v>710</v>
      </c>
      <c r="C4" s="32" t="n">
        <f aca="false">COUNTIFS(ルール一覧!$B:$B,A4,ルール一覧!$E:$E,"エラー")</f>
        <v>5</v>
      </c>
      <c r="D4" s="32" t="n">
        <f aca="false">COUNTIFS(ルール一覧!$B:$B,A4,ルール一覧!$E:$E,"警告")</f>
        <v>5</v>
      </c>
      <c r="E4" s="32" t="n">
        <f aca="false">C4+D4</f>
        <v>10</v>
      </c>
    </row>
    <row r="5" customFormat="false" ht="15" hidden="false" customHeight="false" outlineLevel="0" collapsed="false">
      <c r="A5" s="33" t="s">
        <v>589</v>
      </c>
      <c r="B5" s="33" t="s">
        <v>711</v>
      </c>
      <c r="C5" s="32" t="n">
        <f aca="false">COUNTIFS(ルール一覧!$B:$B,A5,ルール一覧!$E:$E,"エラー")</f>
        <v>4</v>
      </c>
      <c r="D5" s="32" t="n">
        <f aca="false">COUNTIFS(ルール一覧!$B:$B,A5,ルール一覧!$E:$E,"警告")</f>
        <v>3</v>
      </c>
      <c r="E5" s="32" t="n">
        <f aca="false">C5+D5</f>
        <v>7</v>
      </c>
    </row>
    <row r="6" customFormat="false" ht="15" hidden="false" customHeight="false" outlineLevel="0" collapsed="false">
      <c r="A6" s="33" t="s">
        <v>604</v>
      </c>
      <c r="B6" s="33" t="s">
        <v>712</v>
      </c>
      <c r="C6" s="32" t="n">
        <f aca="false">COUNTIFS(ルール一覧!$B:$B,A6,ルール一覧!$E:$E,"エラー")</f>
        <v>5</v>
      </c>
      <c r="D6" s="32" t="n">
        <f aca="false">COUNTIFS(ルール一覧!$B:$B,A6,ルール一覧!$E:$E,"警告")</f>
        <v>5</v>
      </c>
      <c r="E6" s="32" t="n">
        <f aca="false">C6+D6</f>
        <v>10</v>
      </c>
    </row>
    <row r="7" customFormat="false" ht="15" hidden="false" customHeight="false" outlineLevel="0" collapsed="false">
      <c r="A7" s="33" t="s">
        <v>625</v>
      </c>
      <c r="B7" s="33" t="s">
        <v>713</v>
      </c>
      <c r="C7" s="32" t="n">
        <f aca="false">COUNTIFS(ルール一覧!$B:$B,A7,ルール一覧!$E:$E,"エラー")</f>
        <v>3</v>
      </c>
      <c r="D7" s="32" t="n">
        <f aca="false">COUNTIFS(ルール一覧!$B:$B,A7,ルール一覧!$E:$E,"警告")</f>
        <v>4</v>
      </c>
      <c r="E7" s="32" t="n">
        <f aca="false">C7+D7</f>
        <v>7</v>
      </c>
    </row>
    <row r="8" customFormat="false" ht="15" hidden="false" customHeight="false" outlineLevel="0" collapsed="false">
      <c r="A8" s="33" t="s">
        <v>640</v>
      </c>
      <c r="B8" s="33" t="s">
        <v>714</v>
      </c>
      <c r="C8" s="32" t="n">
        <f aca="false">COUNTIFS(ルール一覧!$B:$B,A8,ルール一覧!$E:$E,"エラー")</f>
        <v>3</v>
      </c>
      <c r="D8" s="32" t="n">
        <f aca="false">COUNTIFS(ルール一覧!$B:$B,A8,ルール一覧!$E:$E,"警告")</f>
        <v>4</v>
      </c>
      <c r="E8" s="32" t="n">
        <f aca="false">C8+D8</f>
        <v>7</v>
      </c>
    </row>
    <row r="9" customFormat="false" ht="15" hidden="false" customHeight="false" outlineLevel="0" collapsed="false">
      <c r="A9" s="33" t="s">
        <v>655</v>
      </c>
      <c r="B9" s="33" t="s">
        <v>715</v>
      </c>
      <c r="C9" s="32" t="n">
        <f aca="false">COUNTIFS(ルール一覧!$B:$B,A9,ルール一覧!$E:$E,"エラー")</f>
        <v>5</v>
      </c>
      <c r="D9" s="32" t="n">
        <f aca="false">COUNTIFS(ルール一覧!$B:$B,A9,ルール一覧!$E:$E,"警告")</f>
        <v>2</v>
      </c>
      <c r="E9" s="32" t="n">
        <f aca="false">C9+D9</f>
        <v>7</v>
      </c>
    </row>
    <row r="10" customFormat="false" ht="15" hidden="false" customHeight="false" outlineLevel="0" collapsed="false">
      <c r="A10" s="33" t="s">
        <v>670</v>
      </c>
      <c r="B10" s="33" t="s">
        <v>716</v>
      </c>
      <c r="C10" s="32" t="n">
        <f aca="false">COUNTIFS(ルール一覧!$B:$B,A10,ルール一覧!$E:$E,"エラー")</f>
        <v>5</v>
      </c>
      <c r="D10" s="32" t="n">
        <f aca="false">COUNTIFS(ルール一覧!$B:$B,A10,ルール一覧!$E:$E,"警告")</f>
        <v>2</v>
      </c>
      <c r="E10" s="32" t="n">
        <f aca="false">C10+D10</f>
        <v>7</v>
      </c>
    </row>
    <row r="11" customFormat="false" ht="15" hidden="false" customHeight="false" outlineLevel="0" collapsed="false">
      <c r="A11" s="33" t="s">
        <v>682</v>
      </c>
      <c r="B11" s="33" t="s">
        <v>717</v>
      </c>
      <c r="C11" s="32" t="n">
        <f aca="false">COUNTIFS(ルール一覧!$B:$B,A11,ルール一覧!$E:$E,"エラー")</f>
        <v>4</v>
      </c>
      <c r="D11" s="32" t="n">
        <f aca="false">COUNTIFS(ルール一覧!$B:$B,A11,ルール一覧!$E:$E,"警告")</f>
        <v>3</v>
      </c>
      <c r="E11" s="32" t="n">
        <f aca="false">C11+D11</f>
        <v>7</v>
      </c>
    </row>
    <row r="12" customFormat="false" ht="15" hidden="false" customHeight="false" outlineLevel="0" collapsed="false">
      <c r="A12" s="33" t="s">
        <v>697</v>
      </c>
      <c r="B12" s="32" t="s">
        <v>718</v>
      </c>
      <c r="C12" s="32" t="n">
        <f aca="false">COUNTIFS(ルール一覧!$B:$B,A12,ルール一覧!$E:$E,"エラー")</f>
        <v>2</v>
      </c>
      <c r="D12" s="32" t="n">
        <f aca="false">COUNTIFS(ルール一覧!$B:$B,A12,ルール一覧!$E:$E,"警告")</f>
        <v>2</v>
      </c>
      <c r="E12" s="32" t="n">
        <f aca="false">C12+D12</f>
        <v>4</v>
      </c>
    </row>
    <row r="13" customFormat="false" ht="15" hidden="false" customHeight="false" outlineLevel="0" collapsed="false">
      <c r="A13" s="34" t="s">
        <v>707</v>
      </c>
      <c r="C13" s="35" t="n">
        <f aca="false">SUM(C2:C12)</f>
        <v>39</v>
      </c>
      <c r="D13" s="35" t="n">
        <f aca="false">SUM(D2:D12)</f>
        <v>53</v>
      </c>
      <c r="E13" s="35" t="n">
        <f aca="false">SUM(E2:E12)</f>
        <v>92</v>
      </c>
    </row>
    <row r="15" customFormat="false" ht="15" hidden="false" customHeight="false" outlineLevel="0" collapsed="false">
      <c r="A15" s="11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24" t="s">
        <v>720</v>
      </c>
    </row>
    <row r="3" customFormat="false" ht="30" hidden="false" customHeight="true" outlineLevel="0" collapsed="false">
      <c r="A3" s="13" t="s">
        <v>721</v>
      </c>
      <c r="B3" s="13" t="s">
        <v>200</v>
      </c>
      <c r="C3" s="13" t="s">
        <v>344</v>
      </c>
    </row>
    <row r="4" customFormat="false" ht="15" hidden="false" customHeight="false" outlineLevel="0" collapsed="false">
      <c r="A4" s="16" t="s">
        <v>722</v>
      </c>
      <c r="B4" s="15" t="s">
        <v>723</v>
      </c>
      <c r="C4" s="15" t="s">
        <v>724</v>
      </c>
    </row>
    <row r="5" customFormat="false" ht="15" hidden="false" customHeight="false" outlineLevel="0" collapsed="false">
      <c r="A5" s="16" t="s">
        <v>725</v>
      </c>
      <c r="B5" s="15" t="s">
        <v>726</v>
      </c>
      <c r="C5" s="15" t="s">
        <v>727</v>
      </c>
    </row>
    <row r="6" customFormat="false" ht="15" hidden="false" customHeight="false" outlineLevel="0" collapsed="false">
      <c r="A6" s="16" t="s">
        <v>728</v>
      </c>
      <c r="B6" s="16" t="s">
        <v>729</v>
      </c>
      <c r="C6" s="15" t="s">
        <v>730</v>
      </c>
    </row>
    <row r="7" customFormat="false" ht="15" hidden="false" customHeight="false" outlineLevel="0" collapsed="false">
      <c r="A7" s="16" t="s">
        <v>731</v>
      </c>
      <c r="B7" s="15" t="s">
        <v>732</v>
      </c>
      <c r="C7" s="15" t="s">
        <v>733</v>
      </c>
    </row>
    <row r="8" customFormat="false" ht="15" hidden="false" customHeight="false" outlineLevel="0" collapsed="false">
      <c r="A8" s="16" t="s">
        <v>734</v>
      </c>
      <c r="B8" s="15" t="s">
        <v>735</v>
      </c>
      <c r="C8" s="15" t="s">
        <v>736</v>
      </c>
    </row>
    <row r="9" customFormat="false" ht="15" hidden="false" customHeight="false" outlineLevel="0" collapsed="false">
      <c r="A9" s="16" t="s">
        <v>737</v>
      </c>
      <c r="B9" s="16" t="s">
        <v>738</v>
      </c>
      <c r="C9" s="15" t="s">
        <v>739</v>
      </c>
    </row>
    <row r="10" customFormat="false" ht="15" hidden="false" customHeight="false" outlineLevel="0" collapsed="false">
      <c r="A10" s="16" t="s">
        <v>740</v>
      </c>
      <c r="B10" s="16" t="s">
        <v>741</v>
      </c>
      <c r="C10" s="15" t="s">
        <v>742</v>
      </c>
    </row>
    <row r="11" customFormat="false" ht="15" hidden="false" customHeight="false" outlineLevel="0" collapsed="false">
      <c r="A11" s="16" t="s">
        <v>743</v>
      </c>
      <c r="B11" s="15" t="s">
        <v>744</v>
      </c>
      <c r="C11" s="15" t="s">
        <v>745</v>
      </c>
    </row>
    <row r="12" customFormat="false" ht="15" hidden="false" customHeight="false" outlineLevel="0" collapsed="false">
      <c r="A12" s="16" t="s">
        <v>746</v>
      </c>
      <c r="B12" s="16" t="s">
        <v>747</v>
      </c>
      <c r="C12" s="15" t="s">
        <v>745</v>
      </c>
    </row>
    <row r="13" customFormat="false" ht="29.85" hidden="false" customHeight="false" outlineLevel="0" collapsed="false">
      <c r="A13" s="16" t="s">
        <v>748</v>
      </c>
      <c r="B13" s="15" t="s">
        <v>749</v>
      </c>
      <c r="C13" s="15" t="s">
        <v>750</v>
      </c>
    </row>
    <row r="14" customFormat="false" ht="15" hidden="false" customHeight="false" outlineLevel="0" collapsed="false">
      <c r="A14" s="16" t="s">
        <v>192</v>
      </c>
      <c r="B14" s="15" t="s">
        <v>751</v>
      </c>
      <c r="C14" s="15" t="s">
        <v>752</v>
      </c>
    </row>
    <row r="15" customFormat="false" ht="15" hidden="false" customHeight="false" outlineLevel="0" collapsed="false">
      <c r="A15" s="16" t="s">
        <v>753</v>
      </c>
      <c r="B15" s="16" t="s">
        <v>754</v>
      </c>
      <c r="C15" s="16" t="s">
        <v>66</v>
      </c>
    </row>
  </sheetData>
  <autoFilter ref="A3:C1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24" t="s">
        <v>755</v>
      </c>
    </row>
    <row r="3" customFormat="false" ht="30" hidden="false" customHeight="true" outlineLevel="0" collapsed="false">
      <c r="A3" s="13" t="s">
        <v>756</v>
      </c>
      <c r="B3" s="13" t="s">
        <v>200</v>
      </c>
      <c r="C3" s="13" t="s">
        <v>757</v>
      </c>
    </row>
    <row r="4" customFormat="false" ht="15" hidden="false" customHeight="false" outlineLevel="0" collapsed="false">
      <c r="A4" s="16" t="s">
        <v>758</v>
      </c>
      <c r="B4" s="15" t="s">
        <v>759</v>
      </c>
      <c r="C4" s="15" t="s">
        <v>760</v>
      </c>
    </row>
    <row r="5" customFormat="false" ht="23.85" hidden="false" customHeight="false" outlineLevel="0" collapsed="false">
      <c r="A5" s="16" t="s">
        <v>761</v>
      </c>
      <c r="B5" s="15" t="s">
        <v>762</v>
      </c>
      <c r="C5" s="16" t="s">
        <v>763</v>
      </c>
    </row>
    <row r="6" customFormat="false" ht="23.85" hidden="false" customHeight="false" outlineLevel="0" collapsed="false">
      <c r="A6" s="16" t="s">
        <v>764</v>
      </c>
      <c r="B6" s="15" t="s">
        <v>765</v>
      </c>
      <c r="C6" s="16" t="s">
        <v>766</v>
      </c>
    </row>
    <row r="7" customFormat="false" ht="23.85" hidden="false" customHeight="false" outlineLevel="0" collapsed="false">
      <c r="A7" s="16" t="s">
        <v>767</v>
      </c>
      <c r="B7" s="15" t="s">
        <v>768</v>
      </c>
      <c r="C7" s="16" t="s">
        <v>769</v>
      </c>
    </row>
    <row r="8" customFormat="false" ht="15" hidden="false" customHeight="false" outlineLevel="0" collapsed="false">
      <c r="A8" s="16" t="s">
        <v>770</v>
      </c>
      <c r="B8" s="15" t="s">
        <v>771</v>
      </c>
      <c r="C8" s="16" t="s">
        <v>772</v>
      </c>
    </row>
    <row r="9" customFormat="false" ht="23.85" hidden="false" customHeight="false" outlineLevel="0" collapsed="false">
      <c r="A9" s="16" t="s">
        <v>773</v>
      </c>
      <c r="B9" s="15" t="s">
        <v>774</v>
      </c>
      <c r="C9" s="16" t="s">
        <v>775</v>
      </c>
    </row>
    <row r="10" customFormat="false" ht="26.85" hidden="false" customHeight="false" outlineLevel="0" collapsed="false">
      <c r="A10" s="16" t="s">
        <v>776</v>
      </c>
      <c r="B10" s="15" t="s">
        <v>777</v>
      </c>
      <c r="C10" s="16" t="s">
        <v>778</v>
      </c>
    </row>
    <row r="11" customFormat="false" ht="15" hidden="false" customHeight="false" outlineLevel="0" collapsed="false">
      <c r="A11" s="16" t="s">
        <v>779</v>
      </c>
      <c r="B11" s="15" t="s">
        <v>780</v>
      </c>
      <c r="C11" s="15" t="s">
        <v>760</v>
      </c>
    </row>
    <row r="12" customFormat="false" ht="29.85" hidden="false" customHeight="false" outlineLevel="0" collapsed="false">
      <c r="A12" s="16" t="s">
        <v>781</v>
      </c>
      <c r="B12" s="16" t="s">
        <v>782</v>
      </c>
      <c r="C12" s="15"/>
    </row>
    <row r="13" customFormat="false" ht="29.85" hidden="false" customHeight="false" outlineLevel="0" collapsed="false">
      <c r="A13" s="16" t="s">
        <v>783</v>
      </c>
      <c r="B13" s="15" t="s">
        <v>784</v>
      </c>
      <c r="C13" s="16" t="s">
        <v>785</v>
      </c>
    </row>
    <row r="14" customFormat="false" ht="29.85" hidden="false" customHeight="false" outlineLevel="0" collapsed="false">
      <c r="A14" s="16" t="s">
        <v>786</v>
      </c>
      <c r="B14" s="15" t="s">
        <v>787</v>
      </c>
      <c r="C14" s="16" t="s">
        <v>788</v>
      </c>
    </row>
    <row r="15" customFormat="false" ht="44" hidden="false" customHeight="false" outlineLevel="0" collapsed="false">
      <c r="A15" s="16" t="s">
        <v>789</v>
      </c>
      <c r="B15" s="15" t="s">
        <v>790</v>
      </c>
      <c r="C15" s="16" t="s">
        <v>791</v>
      </c>
    </row>
    <row r="16" customFormat="false" ht="29.85" hidden="false" customHeight="false" outlineLevel="0" collapsed="false">
      <c r="A16" s="16" t="s">
        <v>792</v>
      </c>
      <c r="B16" s="15" t="s">
        <v>793</v>
      </c>
      <c r="C16" s="15" t="s">
        <v>760</v>
      </c>
    </row>
    <row r="17" customFormat="false" ht="23.85" hidden="false" customHeight="false" outlineLevel="0" collapsed="false">
      <c r="A17" s="16" t="s">
        <v>794</v>
      </c>
      <c r="B17" s="16" t="s">
        <v>795</v>
      </c>
      <c r="C17" s="16" t="s">
        <v>796</v>
      </c>
    </row>
    <row r="18" customFormat="false" ht="15" hidden="false" customHeight="false" outlineLevel="0" collapsed="false">
      <c r="A18" s="16" t="s">
        <v>797</v>
      </c>
      <c r="B18" s="15" t="s">
        <v>798</v>
      </c>
      <c r="C18" s="15" t="s">
        <v>760</v>
      </c>
    </row>
    <row r="19" customFormat="false" ht="15" hidden="false" customHeight="false" outlineLevel="0" collapsed="false">
      <c r="A19" s="16" t="s">
        <v>799</v>
      </c>
      <c r="B19" s="15" t="s">
        <v>800</v>
      </c>
      <c r="C19" s="15" t="s">
        <v>760</v>
      </c>
    </row>
    <row r="20" customFormat="false" ht="15" hidden="false" customHeight="false" outlineLevel="0" collapsed="false">
      <c r="A20" s="16" t="s">
        <v>801</v>
      </c>
      <c r="B20" s="16" t="s">
        <v>802</v>
      </c>
      <c r="C20" s="16" t="s">
        <v>803</v>
      </c>
    </row>
    <row r="21" customFormat="false" ht="15" hidden="false" customHeight="false" outlineLevel="0" collapsed="false">
      <c r="A21" s="16" t="s">
        <v>804</v>
      </c>
      <c r="B21" s="16" t="s">
        <v>805</v>
      </c>
      <c r="C21" s="15" t="s">
        <v>760</v>
      </c>
    </row>
    <row r="22" customFormat="false" ht="23.85" hidden="false" customHeight="false" outlineLevel="0" collapsed="false">
      <c r="A22" s="16" t="s">
        <v>806</v>
      </c>
      <c r="B22" s="15" t="s">
        <v>807</v>
      </c>
      <c r="C22" s="16" t="s">
        <v>808</v>
      </c>
    </row>
  </sheetData>
  <autoFilter ref="A3:C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4" t="s">
        <v>809</v>
      </c>
    </row>
    <row r="3" customFormat="false" ht="30" hidden="false" customHeight="true" outlineLevel="0" collapsed="false">
      <c r="A3" s="13" t="s">
        <v>390</v>
      </c>
      <c r="B3" s="13" t="s">
        <v>810</v>
      </c>
      <c r="C3" s="13" t="s">
        <v>811</v>
      </c>
    </row>
    <row r="4" customFormat="false" ht="29.85" hidden="false" customHeight="false" outlineLevel="0" collapsed="false">
      <c r="A4" s="15" t="s">
        <v>812</v>
      </c>
      <c r="B4" s="15" t="s">
        <v>813</v>
      </c>
      <c r="C4" s="16" t="s">
        <v>814</v>
      </c>
    </row>
    <row r="5" customFormat="false" ht="29.85" hidden="false" customHeight="false" outlineLevel="0" collapsed="false">
      <c r="A5" s="15" t="s">
        <v>812</v>
      </c>
      <c r="B5" s="15" t="s">
        <v>815</v>
      </c>
      <c r="C5" s="16" t="s">
        <v>816</v>
      </c>
    </row>
    <row r="6" customFormat="false" ht="29.85" hidden="false" customHeight="false" outlineLevel="0" collapsed="false">
      <c r="A6" s="15" t="s">
        <v>812</v>
      </c>
      <c r="B6" s="15" t="s">
        <v>817</v>
      </c>
      <c r="C6" s="16" t="s">
        <v>818</v>
      </c>
    </row>
    <row r="7" customFormat="false" ht="29.85" hidden="false" customHeight="false" outlineLevel="0" collapsed="false">
      <c r="A7" s="15" t="s">
        <v>812</v>
      </c>
      <c r="B7" s="15" t="s">
        <v>819</v>
      </c>
      <c r="C7" s="16" t="s">
        <v>820</v>
      </c>
    </row>
    <row r="8" customFormat="false" ht="29.85" hidden="false" customHeight="false" outlineLevel="0" collapsed="false">
      <c r="A8" s="15" t="s">
        <v>812</v>
      </c>
      <c r="B8" s="15" t="s">
        <v>821</v>
      </c>
      <c r="C8" s="16" t="s">
        <v>822</v>
      </c>
    </row>
    <row r="9" customFormat="false" ht="29.85" hidden="false" customHeight="false" outlineLevel="0" collapsed="false">
      <c r="A9" s="15" t="s">
        <v>812</v>
      </c>
      <c r="B9" s="15" t="s">
        <v>823</v>
      </c>
      <c r="C9" s="16" t="s">
        <v>824</v>
      </c>
    </row>
    <row r="10" customFormat="false" ht="29.85" hidden="false" customHeight="false" outlineLevel="0" collapsed="false">
      <c r="A10" s="15" t="s">
        <v>812</v>
      </c>
      <c r="B10" s="15" t="s">
        <v>825</v>
      </c>
      <c r="C10" s="16" t="s">
        <v>826</v>
      </c>
    </row>
    <row r="11" customFormat="false" ht="29.85" hidden="false" customHeight="false" outlineLevel="0" collapsed="false">
      <c r="A11" s="15" t="s">
        <v>812</v>
      </c>
      <c r="B11" s="15" t="s">
        <v>827</v>
      </c>
      <c r="C11" s="16" t="s">
        <v>828</v>
      </c>
    </row>
    <row r="12" customFormat="false" ht="29.85" hidden="false" customHeight="false" outlineLevel="0" collapsed="false">
      <c r="A12" s="15" t="s">
        <v>812</v>
      </c>
      <c r="B12" s="15" t="s">
        <v>829</v>
      </c>
      <c r="C12" s="16" t="s">
        <v>830</v>
      </c>
    </row>
    <row r="13" customFormat="false" ht="29.85" hidden="false" customHeight="false" outlineLevel="0" collapsed="false">
      <c r="A13" s="15" t="s">
        <v>812</v>
      </c>
      <c r="B13" s="15" t="s">
        <v>831</v>
      </c>
      <c r="C13" s="16" t="s">
        <v>832</v>
      </c>
    </row>
    <row r="14" customFormat="false" ht="29.85" hidden="false" customHeight="false" outlineLevel="0" collapsed="false">
      <c r="A14" s="15" t="s">
        <v>812</v>
      </c>
      <c r="B14" s="15" t="s">
        <v>833</v>
      </c>
      <c r="C14" s="16" t="s">
        <v>834</v>
      </c>
    </row>
    <row r="15" customFormat="false" ht="29.85" hidden="false" customHeight="false" outlineLevel="0" collapsed="false">
      <c r="A15" s="15" t="s">
        <v>835</v>
      </c>
      <c r="B15" s="15" t="s">
        <v>836</v>
      </c>
      <c r="C15" s="16" t="s">
        <v>837</v>
      </c>
    </row>
    <row r="16" customFormat="false" ht="29.85" hidden="false" customHeight="false" outlineLevel="0" collapsed="false">
      <c r="A16" s="15" t="s">
        <v>835</v>
      </c>
      <c r="B16" s="15" t="s">
        <v>838</v>
      </c>
      <c r="C16" s="16" t="s">
        <v>839</v>
      </c>
    </row>
    <row r="17" customFormat="false" ht="29.85" hidden="false" customHeight="false" outlineLevel="0" collapsed="false">
      <c r="A17" s="15" t="s">
        <v>835</v>
      </c>
      <c r="B17" s="16" t="s">
        <v>840</v>
      </c>
      <c r="C17" s="16" t="s">
        <v>841</v>
      </c>
    </row>
    <row r="18" customFormat="false" ht="29.85" hidden="false" customHeight="false" outlineLevel="0" collapsed="false">
      <c r="A18" s="15" t="s">
        <v>835</v>
      </c>
      <c r="B18" s="15" t="s">
        <v>842</v>
      </c>
      <c r="C18" s="16" t="s">
        <v>843</v>
      </c>
    </row>
    <row r="19" customFormat="false" ht="29.85" hidden="false" customHeight="false" outlineLevel="0" collapsed="false">
      <c r="A19" s="15" t="s">
        <v>835</v>
      </c>
      <c r="B19" s="15" t="s">
        <v>844</v>
      </c>
      <c r="C19" s="16" t="s">
        <v>845</v>
      </c>
    </row>
    <row r="20" customFormat="false" ht="29.85" hidden="false" customHeight="false" outlineLevel="0" collapsed="false">
      <c r="A20" s="15" t="s">
        <v>835</v>
      </c>
      <c r="B20" s="16" t="s">
        <v>846</v>
      </c>
      <c r="C20" s="16" t="s">
        <v>847</v>
      </c>
    </row>
    <row r="21" customFormat="false" ht="29.85" hidden="false" customHeight="false" outlineLevel="0" collapsed="false">
      <c r="A21" s="15" t="s">
        <v>835</v>
      </c>
      <c r="B21" s="15" t="s">
        <v>848</v>
      </c>
      <c r="C21" s="16" t="s">
        <v>849</v>
      </c>
    </row>
    <row r="22" customFormat="false" ht="29.85" hidden="false" customHeight="false" outlineLevel="0" collapsed="false">
      <c r="A22" s="15" t="s">
        <v>850</v>
      </c>
      <c r="B22" s="15" t="s">
        <v>851</v>
      </c>
      <c r="C22" s="16" t="s">
        <v>852</v>
      </c>
    </row>
    <row r="23" customFormat="false" ht="29.85" hidden="false" customHeight="false" outlineLevel="0" collapsed="false">
      <c r="A23" s="15" t="s">
        <v>850</v>
      </c>
      <c r="B23" s="15" t="s">
        <v>853</v>
      </c>
      <c r="C23" s="16" t="s">
        <v>854</v>
      </c>
    </row>
    <row r="24" customFormat="false" ht="29.85" hidden="false" customHeight="false" outlineLevel="0" collapsed="false">
      <c r="A24" s="15" t="s">
        <v>850</v>
      </c>
      <c r="B24" s="15" t="s">
        <v>855</v>
      </c>
      <c r="C24" s="16" t="s">
        <v>856</v>
      </c>
    </row>
    <row r="25" customFormat="false" ht="29.85" hidden="false" customHeight="false" outlineLevel="0" collapsed="false">
      <c r="A25" s="15" t="s">
        <v>850</v>
      </c>
      <c r="B25" s="15" t="s">
        <v>857</v>
      </c>
      <c r="C25" s="16" t="s">
        <v>858</v>
      </c>
    </row>
    <row r="26" customFormat="false" ht="29.85" hidden="false" customHeight="false" outlineLevel="0" collapsed="false">
      <c r="A26" s="15" t="s">
        <v>850</v>
      </c>
      <c r="B26" s="15" t="s">
        <v>859</v>
      </c>
      <c r="C26" s="16" t="s">
        <v>860</v>
      </c>
    </row>
    <row r="27" customFormat="false" ht="29.85" hidden="false" customHeight="false" outlineLevel="0" collapsed="false">
      <c r="A27" s="15" t="s">
        <v>850</v>
      </c>
      <c r="B27" s="15" t="s">
        <v>861</v>
      </c>
      <c r="C27" s="16" t="s">
        <v>862</v>
      </c>
    </row>
    <row r="28" customFormat="false" ht="29.85" hidden="false" customHeight="false" outlineLevel="0" collapsed="false">
      <c r="A28" s="15" t="s">
        <v>850</v>
      </c>
      <c r="B28" s="15" t="s">
        <v>863</v>
      </c>
      <c r="C28" s="16" t="s">
        <v>826</v>
      </c>
    </row>
    <row r="29" customFormat="false" ht="29.85" hidden="false" customHeight="false" outlineLevel="0" collapsed="false">
      <c r="A29" s="15" t="s">
        <v>850</v>
      </c>
      <c r="B29" s="15" t="s">
        <v>864</v>
      </c>
      <c r="C29" s="16" t="s">
        <v>865</v>
      </c>
    </row>
    <row r="30" customFormat="false" ht="29.85" hidden="false" customHeight="false" outlineLevel="0" collapsed="false">
      <c r="A30" s="15" t="s">
        <v>850</v>
      </c>
      <c r="B30" s="15" t="s">
        <v>866</v>
      </c>
      <c r="C30" s="16" t="s">
        <v>867</v>
      </c>
    </row>
    <row r="31" customFormat="false" ht="29.85" hidden="false" customHeight="false" outlineLevel="0" collapsed="false">
      <c r="A31" s="15" t="s">
        <v>868</v>
      </c>
      <c r="B31" s="15" t="s">
        <v>869</v>
      </c>
      <c r="C31" s="16" t="s">
        <v>870</v>
      </c>
    </row>
    <row r="32" customFormat="false" ht="29.85" hidden="false" customHeight="false" outlineLevel="0" collapsed="false">
      <c r="A32" s="15" t="s">
        <v>868</v>
      </c>
      <c r="B32" s="15" t="s">
        <v>871</v>
      </c>
      <c r="C32" s="16" t="s">
        <v>872</v>
      </c>
    </row>
    <row r="33" customFormat="false" ht="29.85" hidden="false" customHeight="false" outlineLevel="0" collapsed="false">
      <c r="A33" s="15" t="s">
        <v>868</v>
      </c>
      <c r="B33" s="15" t="s">
        <v>873</v>
      </c>
      <c r="C33" s="16" t="s">
        <v>874</v>
      </c>
    </row>
    <row r="34" customFormat="false" ht="29.85" hidden="false" customHeight="false" outlineLevel="0" collapsed="false">
      <c r="A34" s="15" t="s">
        <v>868</v>
      </c>
      <c r="B34" s="15" t="s">
        <v>875</v>
      </c>
      <c r="C34" s="16" t="s">
        <v>876</v>
      </c>
    </row>
    <row r="35" customFormat="false" ht="29.85" hidden="false" customHeight="false" outlineLevel="0" collapsed="false">
      <c r="A35" s="15" t="s">
        <v>868</v>
      </c>
      <c r="B35" s="15" t="s">
        <v>877</v>
      </c>
      <c r="C35" s="16" t="s">
        <v>878</v>
      </c>
    </row>
    <row r="36" customFormat="false" ht="29.85" hidden="false" customHeight="false" outlineLevel="0" collapsed="false">
      <c r="A36" s="15" t="s">
        <v>868</v>
      </c>
      <c r="B36" s="15" t="s">
        <v>879</v>
      </c>
      <c r="C36" s="16" t="s">
        <v>880</v>
      </c>
    </row>
    <row r="37" customFormat="false" ht="29.85" hidden="false" customHeight="false" outlineLevel="0" collapsed="false">
      <c r="A37" s="15" t="s">
        <v>868</v>
      </c>
      <c r="B37" s="15" t="s">
        <v>881</v>
      </c>
      <c r="C37" s="16" t="s">
        <v>882</v>
      </c>
    </row>
    <row r="38" customFormat="false" ht="29.85" hidden="false" customHeight="false" outlineLevel="0" collapsed="false">
      <c r="A38" s="15" t="s">
        <v>868</v>
      </c>
      <c r="B38" s="15" t="s">
        <v>883</v>
      </c>
      <c r="C38" s="16" t="s">
        <v>884</v>
      </c>
    </row>
    <row r="39" customFormat="false" ht="29.85" hidden="false" customHeight="false" outlineLevel="0" collapsed="false">
      <c r="A39" s="15" t="s">
        <v>868</v>
      </c>
      <c r="B39" s="15" t="s">
        <v>885</v>
      </c>
      <c r="C39" s="16" t="s">
        <v>886</v>
      </c>
    </row>
    <row r="40" customFormat="false" ht="29.85" hidden="false" customHeight="false" outlineLevel="0" collapsed="false">
      <c r="A40" s="15" t="s">
        <v>868</v>
      </c>
      <c r="B40" s="15" t="s">
        <v>887</v>
      </c>
      <c r="C40" s="16" t="s">
        <v>888</v>
      </c>
    </row>
    <row r="41" customFormat="false" ht="29.85" hidden="false" customHeight="false" outlineLevel="0" collapsed="false">
      <c r="A41" s="15" t="s">
        <v>868</v>
      </c>
      <c r="B41" s="15" t="s">
        <v>889</v>
      </c>
      <c r="C41" s="16" t="s">
        <v>890</v>
      </c>
    </row>
    <row r="42" customFormat="false" ht="29.85" hidden="false" customHeight="false" outlineLevel="0" collapsed="false">
      <c r="A42" s="15" t="s">
        <v>868</v>
      </c>
      <c r="B42" s="15" t="s">
        <v>891</v>
      </c>
      <c r="C42" s="16" t="s">
        <v>892</v>
      </c>
    </row>
    <row r="43" customFormat="false" ht="29.85" hidden="false" customHeight="false" outlineLevel="0" collapsed="false">
      <c r="A43" s="15" t="s">
        <v>868</v>
      </c>
      <c r="B43" s="15" t="s">
        <v>893</v>
      </c>
      <c r="C43" s="16" t="s">
        <v>894</v>
      </c>
    </row>
    <row r="44" customFormat="false" ht="29.85" hidden="false" customHeight="false" outlineLevel="0" collapsed="false">
      <c r="A44" s="15" t="s">
        <v>868</v>
      </c>
      <c r="B44" s="15" t="s">
        <v>895</v>
      </c>
      <c r="C44" s="16" t="s">
        <v>896</v>
      </c>
    </row>
    <row r="45" customFormat="false" ht="29.85" hidden="false" customHeight="false" outlineLevel="0" collapsed="false">
      <c r="A45" s="15" t="s">
        <v>897</v>
      </c>
      <c r="B45" s="15" t="s">
        <v>898</v>
      </c>
      <c r="C45" s="16" t="s">
        <v>899</v>
      </c>
    </row>
    <row r="46" customFormat="false" ht="29.85" hidden="false" customHeight="false" outlineLevel="0" collapsed="false">
      <c r="A46" s="15" t="s">
        <v>897</v>
      </c>
      <c r="B46" s="15" t="s">
        <v>900</v>
      </c>
      <c r="C46" s="16" t="s">
        <v>901</v>
      </c>
    </row>
    <row r="47" customFormat="false" ht="29.85" hidden="false" customHeight="false" outlineLevel="0" collapsed="false">
      <c r="A47" s="15" t="s">
        <v>897</v>
      </c>
      <c r="B47" s="15" t="s">
        <v>902</v>
      </c>
      <c r="C47" s="16" t="s">
        <v>903</v>
      </c>
    </row>
    <row r="48" customFormat="false" ht="29.85" hidden="false" customHeight="false" outlineLevel="0" collapsed="false">
      <c r="A48" s="15" t="s">
        <v>897</v>
      </c>
      <c r="B48" s="15" t="s">
        <v>904</v>
      </c>
      <c r="C48" s="16" t="s">
        <v>905</v>
      </c>
    </row>
    <row r="49" customFormat="false" ht="29.85" hidden="false" customHeight="false" outlineLevel="0" collapsed="false">
      <c r="A49" s="15" t="s">
        <v>897</v>
      </c>
      <c r="B49" s="15" t="s">
        <v>906</v>
      </c>
      <c r="C49" s="16" t="s">
        <v>907</v>
      </c>
    </row>
    <row r="50" customFormat="false" ht="29.85" hidden="false" customHeight="false" outlineLevel="0" collapsed="false">
      <c r="A50" s="15" t="s">
        <v>897</v>
      </c>
      <c r="B50" s="15" t="s">
        <v>908</v>
      </c>
      <c r="C50" s="16" t="s">
        <v>909</v>
      </c>
    </row>
    <row r="51" customFormat="false" ht="29.85" hidden="false" customHeight="false" outlineLevel="0" collapsed="false">
      <c r="A51" s="15" t="s">
        <v>910</v>
      </c>
      <c r="B51" s="15" t="s">
        <v>911</v>
      </c>
      <c r="C51" s="16" t="s">
        <v>912</v>
      </c>
    </row>
    <row r="52" customFormat="false" ht="29.85" hidden="false" customHeight="false" outlineLevel="0" collapsed="false">
      <c r="A52" s="15" t="s">
        <v>910</v>
      </c>
      <c r="B52" s="15" t="s">
        <v>913</v>
      </c>
      <c r="C52" s="16" t="s">
        <v>914</v>
      </c>
    </row>
    <row r="53" customFormat="false" ht="29.85" hidden="false" customHeight="false" outlineLevel="0" collapsed="false">
      <c r="A53" s="15" t="s">
        <v>910</v>
      </c>
      <c r="B53" s="15" t="s">
        <v>915</v>
      </c>
      <c r="C53" s="16" t="s">
        <v>916</v>
      </c>
    </row>
    <row r="54" customFormat="false" ht="29.85" hidden="false" customHeight="false" outlineLevel="0" collapsed="false">
      <c r="A54" s="15" t="s">
        <v>910</v>
      </c>
      <c r="B54" s="16" t="s">
        <v>917</v>
      </c>
      <c r="C54" s="16" t="s">
        <v>918</v>
      </c>
    </row>
    <row r="55" customFormat="false" ht="29.85" hidden="false" customHeight="false" outlineLevel="0" collapsed="false">
      <c r="A55" s="15" t="s">
        <v>910</v>
      </c>
      <c r="B55" s="15" t="s">
        <v>919</v>
      </c>
      <c r="C55" s="16" t="s">
        <v>920</v>
      </c>
    </row>
    <row r="56" customFormat="false" ht="29.85" hidden="false" customHeight="false" outlineLevel="0" collapsed="false">
      <c r="A56" s="15" t="s">
        <v>910</v>
      </c>
      <c r="B56" s="15" t="s">
        <v>921</v>
      </c>
      <c r="C56" s="16" t="s">
        <v>922</v>
      </c>
    </row>
    <row r="57" customFormat="false" ht="29.85" hidden="false" customHeight="false" outlineLevel="0" collapsed="false">
      <c r="A57" s="15" t="s">
        <v>910</v>
      </c>
      <c r="B57" s="15" t="s">
        <v>923</v>
      </c>
      <c r="C57" s="16" t="s">
        <v>924</v>
      </c>
    </row>
    <row r="58" customFormat="false" ht="29.85" hidden="false" customHeight="false" outlineLevel="0" collapsed="false">
      <c r="A58" s="15" t="s">
        <v>910</v>
      </c>
      <c r="B58" s="15" t="s">
        <v>925</v>
      </c>
      <c r="C58" s="16" t="s">
        <v>926</v>
      </c>
    </row>
    <row r="59" customFormat="false" ht="29.85" hidden="false" customHeight="false" outlineLevel="0" collapsed="false">
      <c r="A59" s="15" t="s">
        <v>910</v>
      </c>
      <c r="B59" s="15" t="s">
        <v>927</v>
      </c>
      <c r="C59" s="16" t="s">
        <v>928</v>
      </c>
    </row>
    <row r="60" customFormat="false" ht="29.85" hidden="false" customHeight="false" outlineLevel="0" collapsed="false">
      <c r="A60" s="15" t="s">
        <v>910</v>
      </c>
      <c r="B60" s="15" t="s">
        <v>929</v>
      </c>
      <c r="C60" s="16" t="s">
        <v>930</v>
      </c>
    </row>
    <row r="61" customFormat="false" ht="29.85" hidden="false" customHeight="false" outlineLevel="0" collapsed="false">
      <c r="A61" s="15" t="s">
        <v>931</v>
      </c>
      <c r="B61" s="15" t="s">
        <v>932</v>
      </c>
      <c r="C61" s="16" t="s">
        <v>933</v>
      </c>
    </row>
    <row r="62" customFormat="false" ht="29.85" hidden="false" customHeight="false" outlineLevel="0" collapsed="false">
      <c r="A62" s="15" t="s">
        <v>931</v>
      </c>
      <c r="B62" s="15" t="s">
        <v>934</v>
      </c>
      <c r="C62" s="16" t="s">
        <v>935</v>
      </c>
    </row>
    <row r="63" customFormat="false" ht="29.85" hidden="false" customHeight="false" outlineLevel="0" collapsed="false">
      <c r="A63" s="15" t="s">
        <v>931</v>
      </c>
      <c r="B63" s="15" t="s">
        <v>936</v>
      </c>
      <c r="C63" s="16" t="s">
        <v>937</v>
      </c>
    </row>
    <row r="64" customFormat="false" ht="29.85" hidden="false" customHeight="false" outlineLevel="0" collapsed="false">
      <c r="A64" s="15" t="s">
        <v>931</v>
      </c>
      <c r="B64" s="15" t="s">
        <v>938</v>
      </c>
      <c r="C64" s="16" t="s">
        <v>939</v>
      </c>
    </row>
    <row r="65" customFormat="false" ht="29.85" hidden="false" customHeight="false" outlineLevel="0" collapsed="false">
      <c r="A65" s="15" t="s">
        <v>931</v>
      </c>
      <c r="B65" s="15" t="s">
        <v>940</v>
      </c>
      <c r="C65" s="16" t="s">
        <v>937</v>
      </c>
    </row>
    <row r="66" customFormat="false" ht="29.85" hidden="false" customHeight="false" outlineLevel="0" collapsed="false">
      <c r="A66" s="15" t="s">
        <v>931</v>
      </c>
      <c r="B66" s="15" t="s">
        <v>941</v>
      </c>
      <c r="C66" s="16" t="s">
        <v>942</v>
      </c>
    </row>
    <row r="67" customFormat="false" ht="29.85" hidden="false" customHeight="false" outlineLevel="0" collapsed="false">
      <c r="A67" s="15" t="s">
        <v>931</v>
      </c>
      <c r="B67" s="15" t="s">
        <v>943</v>
      </c>
      <c r="C67" s="16" t="s">
        <v>944</v>
      </c>
    </row>
    <row r="68" customFormat="false" ht="29.85" hidden="false" customHeight="false" outlineLevel="0" collapsed="false">
      <c r="A68" s="15" t="s">
        <v>945</v>
      </c>
      <c r="B68" s="15" t="s">
        <v>946</v>
      </c>
      <c r="C68" s="16" t="s">
        <v>947</v>
      </c>
    </row>
    <row r="69" customFormat="false" ht="29.85" hidden="false" customHeight="false" outlineLevel="0" collapsed="false">
      <c r="A69" s="15" t="s">
        <v>945</v>
      </c>
      <c r="B69" s="16" t="s">
        <v>948</v>
      </c>
      <c r="C69" s="16" t="s">
        <v>949</v>
      </c>
    </row>
    <row r="70" customFormat="false" ht="15" hidden="false" customHeight="false" outlineLevel="0" collapsed="false">
      <c r="A70" s="15" t="s">
        <v>945</v>
      </c>
      <c r="B70" s="15" t="s">
        <v>950</v>
      </c>
      <c r="C70" s="16" t="s">
        <v>951</v>
      </c>
    </row>
    <row r="71" customFormat="false" ht="29.85" hidden="false" customHeight="false" outlineLevel="0" collapsed="false">
      <c r="A71" s="15" t="s">
        <v>945</v>
      </c>
      <c r="B71" s="15" t="s">
        <v>952</v>
      </c>
      <c r="C71" s="16" t="s">
        <v>953</v>
      </c>
    </row>
    <row r="72" customFormat="false" ht="15" hidden="false" customHeight="false" outlineLevel="0" collapsed="false">
      <c r="A72" s="15" t="s">
        <v>945</v>
      </c>
      <c r="B72" s="15" t="s">
        <v>954</v>
      </c>
      <c r="C72" s="16" t="s">
        <v>951</v>
      </c>
    </row>
    <row r="73" customFormat="false" ht="15" hidden="false" customHeight="false" outlineLevel="0" collapsed="false">
      <c r="A73" s="15" t="s">
        <v>945</v>
      </c>
      <c r="B73" s="15" t="s">
        <v>955</v>
      </c>
      <c r="C73" s="16" t="s">
        <v>956</v>
      </c>
    </row>
    <row r="74" customFormat="false" ht="29.85" hidden="false" customHeight="false" outlineLevel="0" collapsed="false">
      <c r="A74" s="15" t="s">
        <v>945</v>
      </c>
      <c r="B74" s="15" t="s">
        <v>957</v>
      </c>
      <c r="C74" s="16" t="s">
        <v>958</v>
      </c>
    </row>
    <row r="75" customFormat="false" ht="29.85" hidden="false" customHeight="false" outlineLevel="0" collapsed="false">
      <c r="A75" s="15" t="s">
        <v>945</v>
      </c>
      <c r="B75" s="15" t="s">
        <v>959</v>
      </c>
      <c r="C75" s="16" t="s">
        <v>960</v>
      </c>
    </row>
    <row r="76" customFormat="false" ht="29.85" hidden="false" customHeight="false" outlineLevel="0" collapsed="false">
      <c r="A76" s="15" t="s">
        <v>961</v>
      </c>
      <c r="B76" s="15" t="s">
        <v>962</v>
      </c>
      <c r="C76" s="16" t="s">
        <v>963</v>
      </c>
    </row>
    <row r="77" customFormat="false" ht="29.85" hidden="false" customHeight="false" outlineLevel="0" collapsed="false">
      <c r="A77" s="15" t="s">
        <v>961</v>
      </c>
      <c r="B77" s="15" t="s">
        <v>964</v>
      </c>
      <c r="C77" s="16" t="s">
        <v>965</v>
      </c>
    </row>
    <row r="78" customFormat="false" ht="29.85" hidden="false" customHeight="false" outlineLevel="0" collapsed="false">
      <c r="A78" s="15" t="s">
        <v>961</v>
      </c>
      <c r="B78" s="15" t="s">
        <v>966</v>
      </c>
      <c r="C78" s="16" t="s">
        <v>967</v>
      </c>
    </row>
    <row r="79" customFormat="false" ht="29.85" hidden="false" customHeight="false" outlineLevel="0" collapsed="false">
      <c r="A79" s="15" t="s">
        <v>961</v>
      </c>
      <c r="B79" s="15" t="s">
        <v>968</v>
      </c>
      <c r="C79" s="16" t="s">
        <v>969</v>
      </c>
    </row>
    <row r="80" customFormat="false" ht="29.85" hidden="false" customHeight="false" outlineLevel="0" collapsed="false">
      <c r="A80" s="15" t="s">
        <v>961</v>
      </c>
      <c r="B80" s="15" t="s">
        <v>970</v>
      </c>
      <c r="C80" s="16" t="s">
        <v>971</v>
      </c>
    </row>
    <row r="81" customFormat="false" ht="29.85" hidden="false" customHeight="false" outlineLevel="0" collapsed="false">
      <c r="A81" s="15" t="s">
        <v>961</v>
      </c>
      <c r="B81" s="15" t="s">
        <v>972</v>
      </c>
      <c r="C81" s="16" t="s">
        <v>973</v>
      </c>
    </row>
    <row r="82" customFormat="false" ht="29.85" hidden="false" customHeight="false" outlineLevel="0" collapsed="false">
      <c r="A82" s="15" t="s">
        <v>974</v>
      </c>
      <c r="B82" s="15" t="s">
        <v>975</v>
      </c>
      <c r="C82" s="16" t="s">
        <v>976</v>
      </c>
    </row>
    <row r="83" customFormat="false" ht="29.85" hidden="false" customHeight="false" outlineLevel="0" collapsed="false">
      <c r="A83" s="15" t="s">
        <v>974</v>
      </c>
      <c r="B83" s="15" t="s">
        <v>977</v>
      </c>
      <c r="C83" s="16" t="s">
        <v>978</v>
      </c>
    </row>
    <row r="84" customFormat="false" ht="29.85" hidden="false" customHeight="false" outlineLevel="0" collapsed="false">
      <c r="A84" s="15" t="s">
        <v>974</v>
      </c>
      <c r="B84" s="15" t="s">
        <v>979</v>
      </c>
      <c r="C84" s="16" t="s">
        <v>980</v>
      </c>
    </row>
    <row r="85" customFormat="false" ht="29.85" hidden="false" customHeight="false" outlineLevel="0" collapsed="false">
      <c r="A85" s="15" t="s">
        <v>974</v>
      </c>
      <c r="B85" s="15" t="s">
        <v>981</v>
      </c>
      <c r="C85" s="16" t="s">
        <v>982</v>
      </c>
    </row>
    <row r="86" customFormat="false" ht="29.85" hidden="false" customHeight="false" outlineLevel="0" collapsed="false">
      <c r="A86" s="15" t="s">
        <v>974</v>
      </c>
      <c r="B86" s="15" t="s">
        <v>983</v>
      </c>
      <c r="C86" s="16" t="s">
        <v>984</v>
      </c>
    </row>
  </sheetData>
  <autoFilter ref="A3:C8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3" t="s">
        <v>985</v>
      </c>
      <c r="B1" s="13" t="s">
        <v>200</v>
      </c>
    </row>
    <row r="2" customFormat="false" ht="15" hidden="false" customHeight="false" outlineLevel="0" collapsed="false">
      <c r="A2" s="16" t="s">
        <v>986</v>
      </c>
      <c r="B2" s="15" t="s">
        <v>987</v>
      </c>
    </row>
    <row r="3" customFormat="false" ht="15" hidden="false" customHeight="false" outlineLevel="0" collapsed="false">
      <c r="A3" s="16" t="s">
        <v>988</v>
      </c>
      <c r="B3" s="16" t="s">
        <v>989</v>
      </c>
    </row>
    <row r="4" customFormat="false" ht="15" hidden="false" customHeight="false" outlineLevel="0" collapsed="false">
      <c r="A4" s="16" t="s">
        <v>990</v>
      </c>
      <c r="B4" s="15" t="s">
        <v>991</v>
      </c>
    </row>
    <row r="5" customFormat="false" ht="15" hidden="false" customHeight="false" outlineLevel="0" collapsed="false">
      <c r="A5" s="16" t="s">
        <v>992</v>
      </c>
      <c r="B5" s="15" t="s">
        <v>993</v>
      </c>
    </row>
    <row r="6" customFormat="false" ht="15" hidden="false" customHeight="false" outlineLevel="0" collapsed="false">
      <c r="A6" s="16" t="s">
        <v>994</v>
      </c>
      <c r="B6" s="15" t="s">
        <v>995</v>
      </c>
    </row>
    <row r="7" customFormat="false" ht="15" hidden="false" customHeight="false" outlineLevel="0" collapsed="false">
      <c r="A7" s="16" t="s">
        <v>996</v>
      </c>
      <c r="B7" s="16" t="s">
        <v>997</v>
      </c>
    </row>
    <row r="8" customFormat="false" ht="15" hidden="false" customHeight="false" outlineLevel="0" collapsed="false">
      <c r="A8" s="16" t="s">
        <v>998</v>
      </c>
      <c r="B8" s="15" t="s">
        <v>999</v>
      </c>
    </row>
    <row r="9" customFormat="false" ht="26.85" hidden="false" customHeight="false" outlineLevel="0" collapsed="false">
      <c r="A9" s="16" t="s">
        <v>1000</v>
      </c>
      <c r="B9" s="16" t="s">
        <v>1001</v>
      </c>
    </row>
    <row r="10" customFormat="false" ht="15" hidden="false" customHeight="false" outlineLevel="0" collapsed="false">
      <c r="A10" s="16" t="s">
        <v>1002</v>
      </c>
      <c r="B10" s="15" t="s">
        <v>1003</v>
      </c>
    </row>
    <row r="11" customFormat="false" ht="15" hidden="false" customHeight="false" outlineLevel="0" collapsed="false">
      <c r="A11" s="16" t="s">
        <v>1004</v>
      </c>
      <c r="B11" s="15" t="s">
        <v>1005</v>
      </c>
    </row>
    <row r="12" customFormat="false" ht="15" hidden="false" customHeight="false" outlineLevel="0" collapsed="false">
      <c r="A12" s="16" t="s">
        <v>1006</v>
      </c>
      <c r="B12" s="16" t="s">
        <v>1007</v>
      </c>
    </row>
    <row r="13" customFormat="false" ht="15" hidden="false" customHeight="false" outlineLevel="0" collapsed="false">
      <c r="A13" s="16" t="s">
        <v>1008</v>
      </c>
      <c r="B13" s="15" t="s">
        <v>1009</v>
      </c>
    </row>
    <row r="14" customFormat="false" ht="15" hidden="false" customHeight="false" outlineLevel="0" collapsed="false">
      <c r="A14" s="16" t="s">
        <v>1010</v>
      </c>
      <c r="B14" s="15" t="s">
        <v>1011</v>
      </c>
    </row>
    <row r="15" customFormat="false" ht="15" hidden="false" customHeight="false" outlineLevel="0" collapsed="false">
      <c r="A15" s="16" t="s">
        <v>1012</v>
      </c>
      <c r="B15" s="15" t="s">
        <v>1013</v>
      </c>
    </row>
    <row r="16" customFormat="false" ht="15" hidden="false" customHeight="false" outlineLevel="0" collapsed="false">
      <c r="A16" s="16" t="s">
        <v>1014</v>
      </c>
      <c r="B16" s="16" t="s">
        <v>1015</v>
      </c>
    </row>
    <row r="17" customFormat="false" ht="15" hidden="false" customHeight="false" outlineLevel="0" collapsed="false">
      <c r="A17" s="16" t="s">
        <v>1016</v>
      </c>
      <c r="B17" s="16" t="s">
        <v>1017</v>
      </c>
    </row>
    <row r="18" customFormat="false" ht="15" hidden="false" customHeight="false" outlineLevel="0" collapsed="false">
      <c r="A18" s="16" t="s">
        <v>1018</v>
      </c>
      <c r="B18" s="15" t="s">
        <v>1019</v>
      </c>
    </row>
    <row r="19" customFormat="false" ht="15" hidden="false" customHeight="false" outlineLevel="0" collapsed="false">
      <c r="A19" s="16" t="s">
        <v>1020</v>
      </c>
      <c r="B19" s="16" t="s">
        <v>1021</v>
      </c>
    </row>
    <row r="20" customFormat="false" ht="15" hidden="false" customHeight="false" outlineLevel="0" collapsed="false">
      <c r="A20" s="16" t="s">
        <v>1022</v>
      </c>
      <c r="B20" s="16" t="s">
        <v>1023</v>
      </c>
    </row>
    <row r="21" customFormat="false" ht="15" hidden="false" customHeight="false" outlineLevel="0" collapsed="false">
      <c r="A21" s="16" t="s">
        <v>1024</v>
      </c>
      <c r="B21" s="15" t="s">
        <v>1025</v>
      </c>
    </row>
  </sheetData>
  <autoFilter ref="A1:B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2026-09-30T05:27:10Z</dcterms:created>
  <dc:creator>openpyxl</dc:creator>
  <dc:description/>
  <dc:language>en-US</dc:language>
  <cp:lastModifiedBy/>
  <dcterms:modified xsi:type="dcterms:W3CDTF">2026-09-30T05:27:10Z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